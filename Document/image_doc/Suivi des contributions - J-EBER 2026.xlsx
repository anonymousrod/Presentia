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tilisateur\Desktop\Mes travaux\Churh\La jeunesse\2026\Activités\Finances\"/>
    </mc:Choice>
  </mc:AlternateContent>
  <xr:revisionPtr revIDLastSave="0" documentId="13_ncr:1_{60CD2376-32E5-4CD7-BA2A-844472587C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ributions" sheetId="1" r:id="rId1"/>
    <sheet name="Dépenses" sheetId="2" r:id="rId2"/>
    <sheet name="Reliquat" sheetId="3" r:id="rId3"/>
  </sheets>
  <definedNames>
    <definedName name="_xlnm._FilterDatabase" localSheetId="0" hidden="1">Contributions!$A$4:$AX$81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cHGufKXNYkP7OLT4SyOHVsjYeEDhQT25LYyiPAGIXv4="/>
    </ext>
  </extLst>
</workbook>
</file>

<file path=xl/calcChain.xml><?xml version="1.0" encoding="utf-8"?>
<calcChain xmlns="http://schemas.openxmlformats.org/spreadsheetml/2006/main">
  <c r="V81" i="1" l="1"/>
  <c r="F81" i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G5" i="2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81" i="1" l="1"/>
  <c r="G105" i="2"/>
  <c r="C5" i="3" l="1"/>
  <c r="C31" i="3" s="1"/>
</calcChain>
</file>

<file path=xl/sharedStrings.xml><?xml version="1.0" encoding="utf-8"?>
<sst xmlns="http://schemas.openxmlformats.org/spreadsheetml/2006/main" count="328" uniqueCount="116">
  <si>
    <t>Contributions hebdomadaires de la jeunesse EBER</t>
  </si>
  <si>
    <t>N° d'ordre</t>
  </si>
  <si>
    <t>Nom et prénoms</t>
  </si>
  <si>
    <t>Contribution hebdomadaire</t>
  </si>
  <si>
    <t>Groupe</t>
  </si>
  <si>
    <t>Responsable de la collecte</t>
  </si>
  <si>
    <t>Juin</t>
  </si>
  <si>
    <t>Juillet</t>
  </si>
  <si>
    <t xml:space="preserve">Août </t>
  </si>
  <si>
    <t>Septembre</t>
  </si>
  <si>
    <t>Octobre</t>
  </si>
  <si>
    <t>Novembre</t>
  </si>
  <si>
    <t>TOTAL</t>
  </si>
  <si>
    <t>AHONKLOO Koffi Thierry</t>
  </si>
  <si>
    <t xml:space="preserve">TETEGAN Exaucé </t>
  </si>
  <si>
    <t xml:space="preserve">KOUMONDJI Guy Morel </t>
  </si>
  <si>
    <t>METO Ulrich</t>
  </si>
  <si>
    <t xml:space="preserve">ADJANOHOUN Esther </t>
  </si>
  <si>
    <t>DAGBEDJI Romario</t>
  </si>
  <si>
    <t xml:space="preserve">ADJOVI Doris </t>
  </si>
  <si>
    <t xml:space="preserve">GAGNON Bienvenu </t>
  </si>
  <si>
    <t>DJOMATIN Béni-Christ</t>
  </si>
  <si>
    <t>ASSAN Nelly</t>
  </si>
  <si>
    <t>AHOKPE Noëlie</t>
  </si>
  <si>
    <t>CHABI Ashley Anselme</t>
  </si>
  <si>
    <t>DAGBELOU Sessi</t>
  </si>
  <si>
    <t>AZOMAN Kyria</t>
  </si>
  <si>
    <t>HOUNKANRIN Salomon</t>
  </si>
  <si>
    <t xml:space="preserve">BLEKO Carine </t>
  </si>
  <si>
    <t xml:space="preserve">HOUNKPEVI Fresnel </t>
  </si>
  <si>
    <t xml:space="preserve">HOULO Ruth-Esther </t>
  </si>
  <si>
    <t xml:space="preserve">TANSI Falonne </t>
  </si>
  <si>
    <t>Néant</t>
  </si>
  <si>
    <t xml:space="preserve">DAVI Christian </t>
  </si>
  <si>
    <t>-</t>
  </si>
  <si>
    <t>HINLIN Ghislain</t>
  </si>
  <si>
    <t>DOUTETIEN Alexine</t>
  </si>
  <si>
    <t>YABI Béatrice</t>
  </si>
  <si>
    <t>NOUMONVI Joël Arsène</t>
  </si>
  <si>
    <t>IFATOUMA Abdias</t>
  </si>
  <si>
    <t>YOUZAN Emmanuel</t>
  </si>
  <si>
    <t>POINT DES DEPENSES</t>
  </si>
  <si>
    <t>Intitulé des dépenses</t>
  </si>
  <si>
    <t>Coût unitaire</t>
  </si>
  <si>
    <t>Quantité</t>
  </si>
  <si>
    <t>Montant Total</t>
  </si>
  <si>
    <t>Frais MoMo</t>
  </si>
  <si>
    <t>Dépense effectuée</t>
  </si>
  <si>
    <t>TOTAL GENERAL</t>
  </si>
  <si>
    <t>RELIQUAT</t>
  </si>
  <si>
    <t>Intitulés des autres ressources</t>
  </si>
  <si>
    <t>Montant</t>
  </si>
  <si>
    <t>Reste des contributions de la jeunesse</t>
  </si>
  <si>
    <t xml:space="preserve">ADJAZO Dorcas Grâce </t>
  </si>
  <si>
    <t>AGOSSOU Jedida</t>
  </si>
  <si>
    <t xml:space="preserve">BLECO Pontien Epiphane </t>
  </si>
  <si>
    <t>FATOLA Hélène</t>
  </si>
  <si>
    <t xml:space="preserve">HOUNDEKPONDJI Odyas </t>
  </si>
  <si>
    <t xml:space="preserve">KOUDOUKOUI Belvida </t>
  </si>
  <si>
    <t>500 FCFA</t>
  </si>
  <si>
    <t>200 FCFA</t>
  </si>
  <si>
    <t>250 FCFA</t>
  </si>
  <si>
    <t>1.000 FCFA</t>
  </si>
  <si>
    <t>Béthel</t>
  </si>
  <si>
    <t>ADJAZO Raïssa</t>
  </si>
  <si>
    <t xml:space="preserve">AGBO Josaphat </t>
  </si>
  <si>
    <t xml:space="preserve">AHOKOU Anne </t>
  </si>
  <si>
    <t>AMOUSSOU Françoise</t>
  </si>
  <si>
    <t xml:space="preserve">AZOMAN Josias Acquilas </t>
  </si>
  <si>
    <t>HOULO Mahounan Isabelle</t>
  </si>
  <si>
    <t>HOUNDEKPONDJI Melyas</t>
  </si>
  <si>
    <t xml:space="preserve">QUENUM Yéhowan </t>
  </si>
  <si>
    <t>300 FCFA</t>
  </si>
  <si>
    <t>Cana</t>
  </si>
  <si>
    <t xml:space="preserve">AYITCHEDEHOU Obed </t>
  </si>
  <si>
    <t xml:space="preserve">EZEBADA Charlotte </t>
  </si>
  <si>
    <t>HOUNGBEDJI Jecolia</t>
  </si>
  <si>
    <t xml:space="preserve">KODONON Kenneth </t>
  </si>
  <si>
    <t>NASSARA Grâce</t>
  </si>
  <si>
    <t xml:space="preserve">SOGBOSSI Marcellin </t>
  </si>
  <si>
    <t>Éden</t>
  </si>
  <si>
    <t>FIOGBE Guillaume</t>
  </si>
  <si>
    <t xml:space="preserve">KENOU Thomas </t>
  </si>
  <si>
    <t>KOUDOUKOUI Joy's</t>
  </si>
  <si>
    <t xml:space="preserve">NASSARAH Ruth Merveille </t>
  </si>
  <si>
    <t xml:space="preserve">OKESESAN Victoria </t>
  </si>
  <si>
    <t>Galilée</t>
  </si>
  <si>
    <t xml:space="preserve">AKALO Paulin </t>
  </si>
  <si>
    <t xml:space="preserve">DANSI M. Marie-José </t>
  </si>
  <si>
    <t>GNIMAGNON Espoir</t>
  </si>
  <si>
    <t>HINLIN Marc</t>
  </si>
  <si>
    <t xml:space="preserve">HOUNGNINOU Merveille </t>
  </si>
  <si>
    <t>KIKI Emmanuel</t>
  </si>
  <si>
    <t xml:space="preserve">METOEVI Justin </t>
  </si>
  <si>
    <t>Shalom</t>
  </si>
  <si>
    <t xml:space="preserve">AGOSSOU Pierre </t>
  </si>
  <si>
    <t xml:space="preserve">AYITCHEDEHOU Ezéchiel </t>
  </si>
  <si>
    <t xml:space="preserve">GAGA M Idrice </t>
  </si>
  <si>
    <t>GNONLONFOUN Chantal</t>
  </si>
  <si>
    <t xml:space="preserve">KAHO S. Débora </t>
  </si>
  <si>
    <t xml:space="preserve">OKERINDE Christiana </t>
  </si>
  <si>
    <t>Siloé</t>
  </si>
  <si>
    <t xml:space="preserve">ADJANOHOUN Néhémie </t>
  </si>
  <si>
    <t xml:space="preserve">AYITCHEDEHOU Ezéchias </t>
  </si>
  <si>
    <t xml:space="preserve">HESSOU Jules </t>
  </si>
  <si>
    <t>KIKI Samuel</t>
  </si>
  <si>
    <t>SEWLAN Lazare</t>
  </si>
  <si>
    <t>SOSSA Naomi</t>
  </si>
  <si>
    <t>Sinaï</t>
  </si>
  <si>
    <t>HINLIN Donatien</t>
  </si>
  <si>
    <t>ADIGBE Mardoché</t>
  </si>
  <si>
    <t>ATCHOUKPE Estelle</t>
  </si>
  <si>
    <t>SENA Georgette</t>
  </si>
  <si>
    <t>Salem</t>
  </si>
  <si>
    <t>Esther ADJANOHOUN</t>
  </si>
  <si>
    <t>AYITCHEDEHOU Moïse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</si>
</sst>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sz val="12"/>
      <color theme="1"/>
      <name val="Nunito"/>
    </font>
    <font>
      <b/>
      <sz val="16"/>
      <color theme="1"/>
      <name val="Nunito"/>
    </font>
    <font>
      <b/>
      <sz val="12"/>
      <color theme="1"/>
      <name val="Nunito"/>
    </font>
    <font>
      <sz val="11"/>
      <name val="Aptos Narrow"/>
    </font>
    <font>
      <sz val="12"/>
      <color rgb="FF000000"/>
      <name val="Nunito"/>
    </font>
    <font>
      <sz val="11"/>
      <color theme="1"/>
      <name val="Nunito"/>
    </font>
    <font>
      <sz val="11"/>
      <color theme="1"/>
      <name val="Nunito"/>
    </font>
    <font>
      <b/>
      <sz val="11"/>
      <color theme="1"/>
      <name val="Aptos Narrow"/>
      <family val="2"/>
      <scheme val="minor"/>
    </font>
    <font>
      <sz val="12"/>
      <name val="Nunito"/>
    </font>
    <font>
      <b/>
      <sz val="12"/>
      <name val="Nunito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00B050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" fillId="0" borderId="1" xfId="0" applyFont="1" applyFill="1" applyBorder="1" applyAlignment="1">
      <alignment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/>
    </xf>
    <xf numFmtId="17" fontId="3" fillId="6" borderId="6" xfId="0" applyNumberFormat="1" applyFont="1" applyFill="1" applyBorder="1" applyAlignment="1">
      <alignment horizontal="center" vertical="center" wrapText="1"/>
    </xf>
    <xf numFmtId="0" fontId="9" fillId="7" borderId="7" xfId="0" applyFont="1" applyFill="1" applyBorder="1"/>
    <xf numFmtId="0" fontId="3" fillId="6" borderId="5" xfId="0" applyNumberFormat="1" applyFont="1" applyFill="1" applyBorder="1" applyAlignment="1">
      <alignment horizontal="center" vertical="center" wrapText="1"/>
    </xf>
    <xf numFmtId="0" fontId="10" fillId="7" borderId="5" xfId="0" applyNumberFormat="1" applyFont="1" applyFill="1" applyBorder="1" applyAlignment="1">
      <alignment horizontal="center" vertical="center"/>
    </xf>
    <xf numFmtId="0" fontId="10" fillId="7" borderId="9" xfId="0" applyNumberFormat="1" applyFont="1" applyFill="1" applyBorder="1" applyAlignment="1">
      <alignment horizontal="center" vertical="center"/>
    </xf>
    <xf numFmtId="17" fontId="3" fillId="5" borderId="5" xfId="0" applyNumberFormat="1" applyFont="1" applyFill="1" applyBorder="1" applyAlignment="1">
      <alignment horizontal="center" vertical="center" wrapText="1"/>
    </xf>
    <xf numFmtId="0" fontId="9" fillId="8" borderId="5" xfId="0" applyFont="1" applyFill="1" applyBorder="1"/>
    <xf numFmtId="0" fontId="3" fillId="5" borderId="5" xfId="0" applyNumberFormat="1" applyFont="1" applyFill="1" applyBorder="1" applyAlignment="1">
      <alignment horizontal="center" vertical="center" wrapText="1"/>
    </xf>
    <xf numFmtId="0" fontId="10" fillId="8" borderId="5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 wrapText="1"/>
    </xf>
    <xf numFmtId="17" fontId="3" fillId="9" borderId="5" xfId="0" applyNumberFormat="1" applyFont="1" applyFill="1" applyBorder="1" applyAlignment="1">
      <alignment horizontal="center" vertical="center" wrapText="1"/>
    </xf>
    <xf numFmtId="0" fontId="9" fillId="10" borderId="5" xfId="0" applyFont="1" applyFill="1" applyBorder="1"/>
    <xf numFmtId="0" fontId="3" fillId="9" borderId="5" xfId="0" applyNumberFormat="1" applyFont="1" applyFill="1" applyBorder="1" applyAlignment="1">
      <alignment horizontal="center" vertical="center" wrapText="1"/>
    </xf>
    <xf numFmtId="0" fontId="10" fillId="10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9" fillId="12" borderId="5" xfId="0" applyFont="1" applyFill="1" applyBorder="1"/>
    <xf numFmtId="0" fontId="3" fillId="11" borderId="5" xfId="0" applyNumberFormat="1" applyFont="1" applyFill="1" applyBorder="1" applyAlignment="1">
      <alignment horizontal="center" vertical="center" wrapText="1"/>
    </xf>
    <xf numFmtId="0" fontId="10" fillId="12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9" fillId="7" borderId="5" xfId="0" applyFont="1" applyFill="1" applyBorder="1"/>
    <xf numFmtId="0" fontId="3" fillId="13" borderId="5" xfId="0" applyFont="1" applyFill="1" applyBorder="1" applyAlignment="1">
      <alignment horizontal="center" vertical="center" wrapText="1"/>
    </xf>
    <xf numFmtId="0" fontId="9" fillId="14" borderId="5" xfId="0" applyFont="1" applyFill="1" applyBorder="1"/>
    <xf numFmtId="0" fontId="3" fillId="13" borderId="5" xfId="0" applyNumberFormat="1" applyFont="1" applyFill="1" applyBorder="1" applyAlignment="1">
      <alignment horizontal="center" vertical="center" wrapText="1"/>
    </xf>
    <xf numFmtId="0" fontId="10" fillId="14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 wrapText="1"/>
    </xf>
    <xf numFmtId="0" fontId="3" fillId="15" borderId="5" xfId="0" applyNumberFormat="1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7" fontId="3" fillId="13" borderId="5" xfId="0" applyNumberFormat="1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94"/>
  <sheetViews>
    <sheetView showGridLines="0" tabSelected="1" workbookViewId="0">
      <selection activeCell="C3" sqref="C3"/>
    </sheetView>
  </sheetViews>
  <sheetFormatPr baseColWidth="10" defaultColWidth="12.6328125" defaultRowHeight="15" customHeight="1"/>
  <cols>
    <col min="1" max="1" width="8.26953125" customWidth="1"/>
    <col min="2" max="2" width="33.36328125" customWidth="1"/>
    <col min="3" max="3" width="20" customWidth="1"/>
    <col min="4" max="4" width="10.90625" customWidth="1"/>
    <col min="5" max="5" width="25.453125" customWidth="1"/>
    <col min="6" max="49" width="7.6328125" customWidth="1"/>
    <col min="50" max="61" width="10.6328125" customWidth="1"/>
  </cols>
  <sheetData>
    <row r="1" spans="1:61" ht="30" customHeight="1">
      <c r="A1" s="1"/>
      <c r="B1" s="2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1" ht="30" customHeight="1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spans="1:61" ht="30" customHeight="1">
      <c r="A3" s="1"/>
      <c r="B3" s="2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spans="1:61" ht="15" customHeight="1">
      <c r="A4" s="84" t="s">
        <v>1</v>
      </c>
      <c r="B4" s="84" t="s">
        <v>2</v>
      </c>
      <c r="C4" s="84" t="s">
        <v>3</v>
      </c>
      <c r="D4" s="84" t="s">
        <v>4</v>
      </c>
      <c r="E4" s="86" t="s">
        <v>5</v>
      </c>
      <c r="F4" s="34">
        <v>45689</v>
      </c>
      <c r="G4" s="35"/>
      <c r="H4" s="35"/>
      <c r="I4" s="35"/>
      <c r="J4" s="39">
        <v>45717</v>
      </c>
      <c r="K4" s="40"/>
      <c r="L4" s="40"/>
      <c r="M4" s="40"/>
      <c r="N4" s="40"/>
      <c r="O4" s="70">
        <v>45748</v>
      </c>
      <c r="P4" s="56"/>
      <c r="Q4" s="56"/>
      <c r="R4" s="56"/>
      <c r="S4" s="44">
        <v>45778</v>
      </c>
      <c r="T4" s="45"/>
      <c r="U4" s="45"/>
      <c r="V4" s="45"/>
      <c r="W4" s="45"/>
      <c r="X4" s="49" t="s">
        <v>6</v>
      </c>
      <c r="Y4" s="50"/>
      <c r="Z4" s="50"/>
      <c r="AA4" s="50"/>
      <c r="AB4" s="53" t="s">
        <v>7</v>
      </c>
      <c r="AC4" s="54"/>
      <c r="AD4" s="54"/>
      <c r="AE4" s="54"/>
      <c r="AF4" s="48" t="s">
        <v>8</v>
      </c>
      <c r="AG4" s="40"/>
      <c r="AH4" s="40"/>
      <c r="AI4" s="40"/>
      <c r="AJ4" s="40"/>
      <c r="AK4" s="55" t="s">
        <v>9</v>
      </c>
      <c r="AL4" s="56"/>
      <c r="AM4" s="56"/>
      <c r="AN4" s="56"/>
      <c r="AO4" s="59" t="s">
        <v>10</v>
      </c>
      <c r="AP4" s="45"/>
      <c r="AQ4" s="45"/>
      <c r="AR4" s="45"/>
      <c r="AS4" s="49" t="s">
        <v>11</v>
      </c>
      <c r="AT4" s="50"/>
      <c r="AU4" s="50"/>
      <c r="AV4" s="50"/>
      <c r="AW4" s="50"/>
      <c r="AX4" s="4" t="s">
        <v>12</v>
      </c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1" s="33" customFormat="1" ht="15" customHeight="1">
      <c r="A5" s="85"/>
      <c r="B5" s="85"/>
      <c r="C5" s="85"/>
      <c r="D5" s="85"/>
      <c r="E5" s="87"/>
      <c r="F5" s="36">
        <v>1</v>
      </c>
      <c r="G5" s="37">
        <v>8</v>
      </c>
      <c r="H5" s="37">
        <v>15</v>
      </c>
      <c r="I5" s="38">
        <v>22</v>
      </c>
      <c r="J5" s="41">
        <v>1</v>
      </c>
      <c r="K5" s="42">
        <v>8</v>
      </c>
      <c r="L5" s="42">
        <v>15</v>
      </c>
      <c r="M5" s="42">
        <v>22</v>
      </c>
      <c r="N5" s="42">
        <v>29</v>
      </c>
      <c r="O5" s="57">
        <v>5</v>
      </c>
      <c r="P5" s="58">
        <v>12</v>
      </c>
      <c r="Q5" s="58">
        <v>19</v>
      </c>
      <c r="R5" s="58">
        <v>26</v>
      </c>
      <c r="S5" s="46">
        <v>3</v>
      </c>
      <c r="T5" s="47">
        <v>10</v>
      </c>
      <c r="U5" s="47">
        <v>17</v>
      </c>
      <c r="V5" s="47">
        <v>24</v>
      </c>
      <c r="W5" s="47">
        <v>31</v>
      </c>
      <c r="X5" s="51">
        <v>7</v>
      </c>
      <c r="Y5" s="52">
        <v>14</v>
      </c>
      <c r="Z5" s="52">
        <v>21</v>
      </c>
      <c r="AA5" s="52">
        <v>28</v>
      </c>
      <c r="AB5" s="43">
        <v>5</v>
      </c>
      <c r="AC5" s="37">
        <v>12</v>
      </c>
      <c r="AD5" s="37">
        <v>19</v>
      </c>
      <c r="AE5" s="37">
        <v>26</v>
      </c>
      <c r="AF5" s="30">
        <v>2</v>
      </c>
      <c r="AG5" s="42">
        <v>9</v>
      </c>
      <c r="AH5" s="42">
        <v>16</v>
      </c>
      <c r="AI5" s="42">
        <v>23</v>
      </c>
      <c r="AJ5" s="42">
        <v>30</v>
      </c>
      <c r="AK5" s="57">
        <v>6</v>
      </c>
      <c r="AL5" s="58">
        <v>13</v>
      </c>
      <c r="AM5" s="58">
        <v>20</v>
      </c>
      <c r="AN5" s="58">
        <v>27</v>
      </c>
      <c r="AO5" s="60">
        <v>4</v>
      </c>
      <c r="AP5" s="47">
        <v>11</v>
      </c>
      <c r="AQ5" s="47">
        <v>18</v>
      </c>
      <c r="AR5" s="47">
        <v>25</v>
      </c>
      <c r="AS5" s="51">
        <v>1</v>
      </c>
      <c r="AT5" s="52">
        <v>8</v>
      </c>
      <c r="AU5" s="52">
        <v>15</v>
      </c>
      <c r="AV5" s="52">
        <v>22</v>
      </c>
      <c r="AW5" s="52">
        <v>29</v>
      </c>
      <c r="AX5" s="31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</row>
    <row r="6" spans="1:61" ht="30" customHeight="1">
      <c r="A6" s="6">
        <v>1</v>
      </c>
      <c r="B6" s="7" t="s">
        <v>110</v>
      </c>
      <c r="C6" s="6" t="s">
        <v>61</v>
      </c>
      <c r="D6" s="6" t="s">
        <v>113</v>
      </c>
      <c r="E6" s="6" t="s">
        <v>26</v>
      </c>
      <c r="F6" s="67"/>
      <c r="G6" s="67"/>
      <c r="H6" s="67"/>
      <c r="I6" s="67"/>
      <c r="J6" s="64"/>
      <c r="K6" s="64"/>
      <c r="L6" s="64"/>
      <c r="M6" s="64"/>
      <c r="N6" s="64"/>
      <c r="O6" s="71"/>
      <c r="P6" s="71"/>
      <c r="Q6" s="71"/>
      <c r="R6" s="71"/>
      <c r="S6" s="74"/>
      <c r="T6" s="74"/>
      <c r="U6" s="74"/>
      <c r="V6" s="74"/>
      <c r="W6" s="74"/>
      <c r="X6" s="81"/>
      <c r="Y6" s="81"/>
      <c r="Z6" s="81"/>
      <c r="AA6" s="81"/>
      <c r="AB6" s="61"/>
      <c r="AC6" s="61"/>
      <c r="AD6" s="61"/>
      <c r="AE6" s="61"/>
      <c r="AF6" s="64"/>
      <c r="AG6" s="82"/>
      <c r="AH6" s="82"/>
      <c r="AI6" s="82"/>
      <c r="AJ6" s="82"/>
      <c r="AK6" s="83"/>
      <c r="AL6" s="83"/>
      <c r="AM6" s="83"/>
      <c r="AN6" s="83"/>
      <c r="AO6" s="77"/>
      <c r="AP6" s="77"/>
      <c r="AQ6" s="77"/>
      <c r="AR6" s="77"/>
      <c r="AS6" s="78"/>
      <c r="AT6" s="78"/>
      <c r="AU6" s="78"/>
      <c r="AV6" s="78"/>
      <c r="AW6" s="78"/>
      <c r="AX6" s="3">
        <f>SUM(F6:AW6)</f>
        <v>0</v>
      </c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1" ht="30" customHeight="1">
      <c r="A7" s="6">
        <v>2</v>
      </c>
      <c r="B7" s="7" t="s">
        <v>17</v>
      </c>
      <c r="C7" s="6" t="s">
        <v>61</v>
      </c>
      <c r="D7" s="6" t="s">
        <v>101</v>
      </c>
      <c r="E7" s="6" t="s">
        <v>23</v>
      </c>
      <c r="F7" s="68"/>
      <c r="G7" s="68"/>
      <c r="H7" s="68"/>
      <c r="I7" s="68"/>
      <c r="J7" s="65"/>
      <c r="K7" s="65"/>
      <c r="L7" s="65"/>
      <c r="M7" s="65"/>
      <c r="N7" s="65"/>
      <c r="O7" s="72"/>
      <c r="P7" s="72"/>
      <c r="Q7" s="72"/>
      <c r="R7" s="72"/>
      <c r="S7" s="75"/>
      <c r="T7" s="75"/>
      <c r="U7" s="75"/>
      <c r="V7" s="75"/>
      <c r="W7" s="75"/>
      <c r="X7" s="80"/>
      <c r="Y7" s="80"/>
      <c r="Z7" s="80"/>
      <c r="AA7" s="80"/>
      <c r="AB7" s="62"/>
      <c r="AC7" s="62"/>
      <c r="AD7" s="62"/>
      <c r="AE7" s="62"/>
      <c r="AF7" s="65"/>
      <c r="AG7" s="65"/>
      <c r="AH7" s="66"/>
      <c r="AI7" s="66"/>
      <c r="AJ7" s="66"/>
      <c r="AK7" s="73"/>
      <c r="AL7" s="73"/>
      <c r="AM7" s="73"/>
      <c r="AN7" s="73"/>
      <c r="AO7" s="76"/>
      <c r="AP7" s="76"/>
      <c r="AQ7" s="76"/>
      <c r="AR7" s="76"/>
      <c r="AS7" s="79"/>
      <c r="AT7" s="79"/>
      <c r="AU7" s="79"/>
      <c r="AV7" s="79"/>
      <c r="AW7" s="79"/>
      <c r="AX7" s="3">
        <f>SUM(F7:AW7)</f>
        <v>0</v>
      </c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1" ht="30" customHeight="1">
      <c r="A8" s="6">
        <v>3</v>
      </c>
      <c r="B8" s="7" t="s">
        <v>102</v>
      </c>
      <c r="C8" s="6" t="s">
        <v>61</v>
      </c>
      <c r="D8" s="6" t="s">
        <v>108</v>
      </c>
      <c r="E8" s="6" t="s">
        <v>104</v>
      </c>
      <c r="F8" s="68"/>
      <c r="G8" s="68"/>
      <c r="H8" s="68"/>
      <c r="I8" s="68"/>
      <c r="J8" s="65"/>
      <c r="K8" s="65"/>
      <c r="L8" s="65"/>
      <c r="M8" s="65"/>
      <c r="N8" s="65"/>
      <c r="O8" s="72"/>
      <c r="P8" s="72"/>
      <c r="Q8" s="72"/>
      <c r="R8" s="72"/>
      <c r="S8" s="75"/>
      <c r="T8" s="75"/>
      <c r="U8" s="75"/>
      <c r="V8" s="75"/>
      <c r="W8" s="75"/>
      <c r="X8" s="80"/>
      <c r="Y8" s="80"/>
      <c r="Z8" s="80"/>
      <c r="AA8" s="80"/>
      <c r="AB8" s="62"/>
      <c r="AC8" s="62"/>
      <c r="AD8" s="62"/>
      <c r="AE8" s="62"/>
      <c r="AF8" s="65"/>
      <c r="AG8" s="65"/>
      <c r="AH8" s="65"/>
      <c r="AI8" s="65"/>
      <c r="AJ8" s="65"/>
      <c r="AK8" s="72"/>
      <c r="AL8" s="72"/>
      <c r="AM8" s="72"/>
      <c r="AN8" s="72"/>
      <c r="AO8" s="75"/>
      <c r="AP8" s="75"/>
      <c r="AQ8" s="75"/>
      <c r="AR8" s="75"/>
      <c r="AS8" s="80"/>
      <c r="AT8" s="80"/>
      <c r="AU8" s="80"/>
      <c r="AV8" s="79"/>
      <c r="AW8" s="79"/>
      <c r="AX8" s="3">
        <f>SUM(F8:AW8)</f>
        <v>0</v>
      </c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1" ht="30" customHeight="1">
      <c r="A9" s="6">
        <v>4</v>
      </c>
      <c r="B9" s="7" t="s">
        <v>53</v>
      </c>
      <c r="C9" s="6" t="s">
        <v>59</v>
      </c>
      <c r="D9" s="6" t="s">
        <v>63</v>
      </c>
      <c r="E9" s="6" t="s">
        <v>54</v>
      </c>
      <c r="F9" s="68"/>
      <c r="G9" s="68"/>
      <c r="H9" s="68"/>
      <c r="I9" s="68"/>
      <c r="J9" s="65"/>
      <c r="K9" s="65"/>
      <c r="L9" s="65"/>
      <c r="M9" s="65"/>
      <c r="N9" s="65"/>
      <c r="O9" s="73"/>
      <c r="P9" s="73"/>
      <c r="Q9" s="73"/>
      <c r="R9" s="73"/>
      <c r="S9" s="76"/>
      <c r="T9" s="76"/>
      <c r="U9" s="76"/>
      <c r="V9" s="76"/>
      <c r="W9" s="76"/>
      <c r="X9" s="79"/>
      <c r="Y9" s="79"/>
      <c r="Z9" s="79"/>
      <c r="AA9" s="79"/>
      <c r="AB9" s="63"/>
      <c r="AC9" s="63"/>
      <c r="AD9" s="63"/>
      <c r="AE9" s="63"/>
      <c r="AF9" s="66"/>
      <c r="AG9" s="66"/>
      <c r="AH9" s="66"/>
      <c r="AI9" s="66"/>
      <c r="AJ9" s="66"/>
      <c r="AK9" s="73"/>
      <c r="AL9" s="73"/>
      <c r="AM9" s="73"/>
      <c r="AN9" s="73"/>
      <c r="AO9" s="76"/>
      <c r="AP9" s="76"/>
      <c r="AQ9" s="76"/>
      <c r="AR9" s="76"/>
      <c r="AS9" s="79"/>
      <c r="AT9" s="79"/>
      <c r="AU9" s="79"/>
      <c r="AV9" s="79"/>
      <c r="AW9" s="79"/>
      <c r="AX9" s="3">
        <f>SUM(F9:AW9)</f>
        <v>0</v>
      </c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</row>
    <row r="10" spans="1:61" ht="30" customHeight="1">
      <c r="A10" s="6">
        <v>5</v>
      </c>
      <c r="B10" s="7" t="s">
        <v>64</v>
      </c>
      <c r="C10" s="6" t="s">
        <v>59</v>
      </c>
      <c r="D10" s="6" t="s">
        <v>73</v>
      </c>
      <c r="E10" s="6" t="s">
        <v>66</v>
      </c>
      <c r="F10" s="68"/>
      <c r="G10" s="68"/>
      <c r="H10" s="68"/>
      <c r="I10" s="68"/>
      <c r="J10" s="65"/>
      <c r="K10" s="65"/>
      <c r="L10" s="65"/>
      <c r="M10" s="65"/>
      <c r="N10" s="65"/>
      <c r="O10" s="72"/>
      <c r="P10" s="72"/>
      <c r="Q10" s="72"/>
      <c r="R10" s="72"/>
      <c r="S10" s="75"/>
      <c r="T10" s="75"/>
      <c r="U10" s="75"/>
      <c r="V10" s="75"/>
      <c r="W10" s="75"/>
      <c r="X10" s="80"/>
      <c r="Y10" s="80"/>
      <c r="Z10" s="80"/>
      <c r="AA10" s="80"/>
      <c r="AB10" s="62"/>
      <c r="AC10" s="62"/>
      <c r="AD10" s="62"/>
      <c r="AE10" s="62"/>
      <c r="AF10" s="65"/>
      <c r="AG10" s="65"/>
      <c r="AH10" s="66"/>
      <c r="AI10" s="66"/>
      <c r="AJ10" s="66"/>
      <c r="AK10" s="73"/>
      <c r="AL10" s="73"/>
      <c r="AM10" s="73"/>
      <c r="AN10" s="73"/>
      <c r="AO10" s="76"/>
      <c r="AP10" s="76"/>
      <c r="AQ10" s="76"/>
      <c r="AR10" s="76"/>
      <c r="AS10" s="79"/>
      <c r="AT10" s="79"/>
      <c r="AU10" s="79"/>
      <c r="AV10" s="79"/>
      <c r="AW10" s="79"/>
      <c r="AX10" s="3">
        <f>SUM(F10:AW10)</f>
        <v>0</v>
      </c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</row>
    <row r="11" spans="1:61" ht="30" customHeight="1">
      <c r="A11" s="6">
        <v>6</v>
      </c>
      <c r="B11" s="7" t="s">
        <v>19</v>
      </c>
      <c r="C11" s="6" t="s">
        <v>59</v>
      </c>
      <c r="D11" s="6" t="s">
        <v>80</v>
      </c>
      <c r="E11" s="6" t="s">
        <v>77</v>
      </c>
      <c r="F11" s="68"/>
      <c r="G11" s="68"/>
      <c r="H11" s="68"/>
      <c r="I11" s="68"/>
      <c r="J11" s="65"/>
      <c r="K11" s="65"/>
      <c r="L11" s="65"/>
      <c r="M11" s="65"/>
      <c r="N11" s="65"/>
      <c r="O11" s="73"/>
      <c r="P11" s="73"/>
      <c r="Q11" s="73"/>
      <c r="R11" s="73"/>
      <c r="S11" s="76"/>
      <c r="T11" s="76"/>
      <c r="U11" s="76"/>
      <c r="V11" s="76"/>
      <c r="W11" s="76"/>
      <c r="X11" s="79"/>
      <c r="Y11" s="79"/>
      <c r="Z11" s="79"/>
      <c r="AA11" s="79"/>
      <c r="AB11" s="63"/>
      <c r="AC11" s="63"/>
      <c r="AD11" s="63"/>
      <c r="AE11" s="63"/>
      <c r="AF11" s="66"/>
      <c r="AG11" s="66"/>
      <c r="AH11" s="66"/>
      <c r="AI11" s="66"/>
      <c r="AJ11" s="66"/>
      <c r="AK11" s="73"/>
      <c r="AL11" s="73"/>
      <c r="AM11" s="73"/>
      <c r="AN11" s="73"/>
      <c r="AO11" s="76"/>
      <c r="AP11" s="76"/>
      <c r="AQ11" s="76"/>
      <c r="AR11" s="76"/>
      <c r="AS11" s="79"/>
      <c r="AT11" s="79"/>
      <c r="AU11" s="79"/>
      <c r="AV11" s="79"/>
      <c r="AW11" s="79"/>
      <c r="AX11" s="3">
        <f>SUM(F11:AW11)</f>
        <v>0</v>
      </c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</row>
    <row r="12" spans="1:61" ht="30" customHeight="1">
      <c r="A12" s="6">
        <v>7</v>
      </c>
      <c r="B12" s="7" t="s">
        <v>65</v>
      </c>
      <c r="C12" s="6" t="s">
        <v>72</v>
      </c>
      <c r="D12" s="6" t="s">
        <v>73</v>
      </c>
      <c r="E12" s="6" t="s">
        <v>66</v>
      </c>
      <c r="F12" s="68"/>
      <c r="G12" s="68"/>
      <c r="H12" s="68"/>
      <c r="I12" s="68"/>
      <c r="J12" s="65"/>
      <c r="K12" s="65"/>
      <c r="L12" s="65"/>
      <c r="M12" s="65"/>
      <c r="N12" s="65"/>
      <c r="O12" s="72"/>
      <c r="P12" s="72"/>
      <c r="Q12" s="72"/>
      <c r="R12" s="72"/>
      <c r="S12" s="75"/>
      <c r="T12" s="75"/>
      <c r="U12" s="75"/>
      <c r="V12" s="75"/>
      <c r="W12" s="75"/>
      <c r="X12" s="80"/>
      <c r="Y12" s="80"/>
      <c r="Z12" s="80"/>
      <c r="AA12" s="80"/>
      <c r="AB12" s="62"/>
      <c r="AC12" s="62"/>
      <c r="AD12" s="62"/>
      <c r="AE12" s="62"/>
      <c r="AF12" s="65"/>
      <c r="AG12" s="65"/>
      <c r="AH12" s="65"/>
      <c r="AI12" s="65"/>
      <c r="AJ12" s="65"/>
      <c r="AK12" s="72"/>
      <c r="AL12" s="72"/>
      <c r="AM12" s="72"/>
      <c r="AN12" s="72"/>
      <c r="AO12" s="75"/>
      <c r="AP12" s="75"/>
      <c r="AQ12" s="75"/>
      <c r="AR12" s="75"/>
      <c r="AS12" s="80"/>
      <c r="AT12" s="80"/>
      <c r="AU12" s="80"/>
      <c r="AV12" s="80"/>
      <c r="AW12" s="80"/>
      <c r="AX12" s="3">
        <f>SUM(F12:AW12)</f>
        <v>0</v>
      </c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</row>
    <row r="13" spans="1:61" ht="30" customHeight="1">
      <c r="A13" s="6">
        <v>8</v>
      </c>
      <c r="B13" s="7" t="s">
        <v>54</v>
      </c>
      <c r="C13" s="6" t="s">
        <v>60</v>
      </c>
      <c r="D13" s="6" t="s">
        <v>63</v>
      </c>
      <c r="E13" s="6" t="s">
        <v>54</v>
      </c>
      <c r="F13" s="68"/>
      <c r="G13" s="68"/>
      <c r="H13" s="68"/>
      <c r="I13" s="68"/>
      <c r="J13" s="65"/>
      <c r="K13" s="65"/>
      <c r="L13" s="65"/>
      <c r="M13" s="65"/>
      <c r="N13" s="65"/>
      <c r="O13" s="72"/>
      <c r="P13" s="72"/>
      <c r="Q13" s="72"/>
      <c r="R13" s="72"/>
      <c r="S13" s="75"/>
      <c r="T13" s="75"/>
      <c r="U13" s="75"/>
      <c r="V13" s="75"/>
      <c r="W13" s="75"/>
      <c r="X13" s="80"/>
      <c r="Y13" s="80"/>
      <c r="Z13" s="80"/>
      <c r="AA13" s="80"/>
      <c r="AB13" s="62"/>
      <c r="AC13" s="62"/>
      <c r="AD13" s="62"/>
      <c r="AE13" s="62"/>
      <c r="AF13" s="65"/>
      <c r="AG13" s="65"/>
      <c r="AH13" s="65"/>
      <c r="AI13" s="65"/>
      <c r="AJ13" s="65"/>
      <c r="AK13" s="72"/>
      <c r="AL13" s="72"/>
      <c r="AM13" s="72"/>
      <c r="AN13" s="72"/>
      <c r="AO13" s="75"/>
      <c r="AP13" s="75"/>
      <c r="AQ13" s="75"/>
      <c r="AR13" s="75"/>
      <c r="AS13" s="80"/>
      <c r="AT13" s="80"/>
      <c r="AU13" s="80"/>
      <c r="AV13" s="80"/>
      <c r="AW13" s="80"/>
      <c r="AX13" s="3">
        <f>SUM(F13:AW13)</f>
        <v>0</v>
      </c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</row>
    <row r="14" spans="1:61" ht="30" customHeight="1">
      <c r="A14" s="6">
        <v>9</v>
      </c>
      <c r="B14" s="7" t="s">
        <v>95</v>
      </c>
      <c r="C14" s="6" t="s">
        <v>61</v>
      </c>
      <c r="D14" s="6" t="s">
        <v>101</v>
      </c>
      <c r="E14" s="6" t="s">
        <v>23</v>
      </c>
      <c r="F14" s="68"/>
      <c r="G14" s="68"/>
      <c r="H14" s="68"/>
      <c r="I14" s="68"/>
      <c r="J14" s="65"/>
      <c r="K14" s="65"/>
      <c r="L14" s="65"/>
      <c r="M14" s="65"/>
      <c r="N14" s="65"/>
      <c r="O14" s="72"/>
      <c r="P14" s="72"/>
      <c r="Q14" s="72"/>
      <c r="R14" s="72"/>
      <c r="S14" s="75"/>
      <c r="T14" s="75"/>
      <c r="U14" s="75"/>
      <c r="V14" s="75"/>
      <c r="W14" s="75"/>
      <c r="X14" s="80"/>
      <c r="Y14" s="80"/>
      <c r="Z14" s="80"/>
      <c r="AA14" s="80"/>
      <c r="AB14" s="62"/>
      <c r="AC14" s="62"/>
      <c r="AD14" s="62"/>
      <c r="AE14" s="62"/>
      <c r="AF14" s="65"/>
      <c r="AG14" s="65"/>
      <c r="AH14" s="66"/>
      <c r="AI14" s="65"/>
      <c r="AJ14" s="65"/>
      <c r="AK14" s="72"/>
      <c r="AL14" s="72"/>
      <c r="AM14" s="72"/>
      <c r="AN14" s="72"/>
      <c r="AO14" s="75"/>
      <c r="AP14" s="75"/>
      <c r="AQ14" s="75"/>
      <c r="AR14" s="75"/>
      <c r="AS14" s="80"/>
      <c r="AT14" s="80"/>
      <c r="AU14" s="80"/>
      <c r="AV14" s="80"/>
      <c r="AW14" s="80"/>
      <c r="AX14" s="3">
        <f>SUM(F14:AW14)</f>
        <v>0</v>
      </c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</row>
    <row r="15" spans="1:61" ht="30" customHeight="1">
      <c r="A15" s="6">
        <v>10</v>
      </c>
      <c r="B15" s="7" t="s">
        <v>66</v>
      </c>
      <c r="C15" s="6" t="s">
        <v>61</v>
      </c>
      <c r="D15" s="6" t="s">
        <v>73</v>
      </c>
      <c r="E15" s="6" t="s">
        <v>66</v>
      </c>
      <c r="F15" s="68"/>
      <c r="G15" s="68"/>
      <c r="H15" s="68"/>
      <c r="I15" s="68"/>
      <c r="J15" s="65"/>
      <c r="K15" s="65"/>
      <c r="L15" s="65"/>
      <c r="M15" s="65"/>
      <c r="N15" s="65"/>
      <c r="O15" s="72"/>
      <c r="P15" s="72"/>
      <c r="Q15" s="72"/>
      <c r="R15" s="72"/>
      <c r="S15" s="75"/>
      <c r="T15" s="75"/>
      <c r="U15" s="75"/>
      <c r="V15" s="75"/>
      <c r="W15" s="75"/>
      <c r="X15" s="80"/>
      <c r="Y15" s="80"/>
      <c r="Z15" s="80"/>
      <c r="AA15" s="80"/>
      <c r="AB15" s="62"/>
      <c r="AC15" s="62"/>
      <c r="AD15" s="62"/>
      <c r="AE15" s="62"/>
      <c r="AF15" s="65"/>
      <c r="AG15" s="65"/>
      <c r="AH15" s="65"/>
      <c r="AI15" s="65"/>
      <c r="AJ15" s="65"/>
      <c r="AK15" s="72"/>
      <c r="AL15" s="72"/>
      <c r="AM15" s="72"/>
      <c r="AN15" s="72"/>
      <c r="AO15" s="75"/>
      <c r="AP15" s="75"/>
      <c r="AQ15" s="75"/>
      <c r="AR15" s="75"/>
      <c r="AS15" s="80"/>
      <c r="AT15" s="80"/>
      <c r="AU15" s="80"/>
      <c r="AV15" s="80"/>
      <c r="AW15" s="80"/>
      <c r="AX15" s="3">
        <f>SUM(F15:AW15)</f>
        <v>0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</row>
    <row r="16" spans="1:61" ht="30" customHeight="1">
      <c r="A16" s="6">
        <v>11</v>
      </c>
      <c r="B16" s="7" t="s">
        <v>23</v>
      </c>
      <c r="C16" s="6" t="s">
        <v>60</v>
      </c>
      <c r="D16" s="6" t="s">
        <v>101</v>
      </c>
      <c r="E16" s="6" t="s">
        <v>23</v>
      </c>
      <c r="F16" s="68"/>
      <c r="G16" s="68"/>
      <c r="H16" s="68"/>
      <c r="I16" s="68"/>
      <c r="J16" s="65"/>
      <c r="K16" s="65"/>
      <c r="L16" s="65"/>
      <c r="M16" s="65"/>
      <c r="N16" s="65"/>
      <c r="O16" s="73"/>
      <c r="P16" s="73"/>
      <c r="Q16" s="73"/>
      <c r="R16" s="73"/>
      <c r="S16" s="76"/>
      <c r="T16" s="76"/>
      <c r="U16" s="76"/>
      <c r="V16" s="76"/>
      <c r="W16" s="76"/>
      <c r="X16" s="79"/>
      <c r="Y16" s="79"/>
      <c r="Z16" s="79"/>
      <c r="AA16" s="79"/>
      <c r="AB16" s="63"/>
      <c r="AC16" s="63"/>
      <c r="AD16" s="63"/>
      <c r="AE16" s="63"/>
      <c r="AF16" s="66"/>
      <c r="AG16" s="66"/>
      <c r="AH16" s="66"/>
      <c r="AI16" s="66"/>
      <c r="AJ16" s="66"/>
      <c r="AK16" s="73"/>
      <c r="AL16" s="73"/>
      <c r="AM16" s="73"/>
      <c r="AN16" s="73"/>
      <c r="AO16" s="76"/>
      <c r="AP16" s="76"/>
      <c r="AQ16" s="76"/>
      <c r="AR16" s="76"/>
      <c r="AS16" s="79"/>
      <c r="AT16" s="79"/>
      <c r="AU16" s="79"/>
      <c r="AV16" s="79"/>
      <c r="AW16" s="79"/>
      <c r="AX16" s="3">
        <f>SUM(F16:AW16)</f>
        <v>0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</row>
    <row r="17" spans="1:61" ht="30" customHeight="1">
      <c r="A17" s="6">
        <v>12</v>
      </c>
      <c r="B17" s="7" t="s">
        <v>13</v>
      </c>
      <c r="C17" s="6" t="s">
        <v>59</v>
      </c>
      <c r="D17" s="6" t="s">
        <v>73</v>
      </c>
      <c r="E17" s="6" t="s">
        <v>66</v>
      </c>
      <c r="F17" s="68"/>
      <c r="G17" s="68"/>
      <c r="H17" s="68"/>
      <c r="I17" s="68"/>
      <c r="J17" s="65"/>
      <c r="K17" s="65"/>
      <c r="L17" s="65"/>
      <c r="M17" s="65"/>
      <c r="N17" s="65"/>
      <c r="O17" s="73"/>
      <c r="P17" s="73"/>
      <c r="Q17" s="73"/>
      <c r="R17" s="73"/>
      <c r="S17" s="76"/>
      <c r="T17" s="76"/>
      <c r="U17" s="76"/>
      <c r="V17" s="76"/>
      <c r="W17" s="76"/>
      <c r="X17" s="79"/>
      <c r="Y17" s="79"/>
      <c r="Z17" s="79"/>
      <c r="AA17" s="79"/>
      <c r="AB17" s="63"/>
      <c r="AC17" s="63"/>
      <c r="AD17" s="63"/>
      <c r="AE17" s="63"/>
      <c r="AF17" s="66"/>
      <c r="AG17" s="66"/>
      <c r="AH17" s="66"/>
      <c r="AI17" s="66"/>
      <c r="AJ17" s="66"/>
      <c r="AK17" s="73"/>
      <c r="AL17" s="73"/>
      <c r="AM17" s="73"/>
      <c r="AN17" s="73"/>
      <c r="AO17" s="76"/>
      <c r="AP17" s="76"/>
      <c r="AQ17" s="76"/>
      <c r="AR17" s="76"/>
      <c r="AS17" s="79"/>
      <c r="AT17" s="79"/>
      <c r="AU17" s="79"/>
      <c r="AV17" s="79"/>
      <c r="AW17" s="79"/>
      <c r="AX17" s="3">
        <f>SUM(F17:AW17)</f>
        <v>0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</row>
    <row r="18" spans="1:61" ht="30" customHeight="1">
      <c r="A18" s="6">
        <v>13</v>
      </c>
      <c r="B18" s="7" t="s">
        <v>87</v>
      </c>
      <c r="C18" s="6" t="s">
        <v>61</v>
      </c>
      <c r="D18" s="6" t="s">
        <v>94</v>
      </c>
      <c r="E18" s="6" t="s">
        <v>21</v>
      </c>
      <c r="F18" s="68"/>
      <c r="G18" s="68"/>
      <c r="H18" s="68"/>
      <c r="I18" s="68"/>
      <c r="J18" s="65"/>
      <c r="K18" s="65"/>
      <c r="L18" s="65"/>
      <c r="M18" s="65"/>
      <c r="N18" s="65"/>
      <c r="O18" s="72"/>
      <c r="P18" s="72"/>
      <c r="Q18" s="72"/>
      <c r="R18" s="72"/>
      <c r="S18" s="75"/>
      <c r="T18" s="75"/>
      <c r="U18" s="75"/>
      <c r="V18" s="75"/>
      <c r="W18" s="75"/>
      <c r="X18" s="80"/>
      <c r="Y18" s="80"/>
      <c r="Z18" s="80"/>
      <c r="AA18" s="80"/>
      <c r="AB18" s="62"/>
      <c r="AC18" s="62"/>
      <c r="AD18" s="62"/>
      <c r="AE18" s="62"/>
      <c r="AF18" s="65"/>
      <c r="AG18" s="65"/>
      <c r="AH18" s="65"/>
      <c r="AI18" s="65"/>
      <c r="AJ18" s="65"/>
      <c r="AK18" s="72"/>
      <c r="AL18" s="72"/>
      <c r="AM18" s="72"/>
      <c r="AN18" s="72"/>
      <c r="AO18" s="75"/>
      <c r="AP18" s="75"/>
      <c r="AQ18" s="75"/>
      <c r="AR18" s="75"/>
      <c r="AS18" s="80"/>
      <c r="AT18" s="80"/>
      <c r="AU18" s="80"/>
      <c r="AV18" s="80"/>
      <c r="AW18" s="80"/>
      <c r="AX18" s="3">
        <f>SUM(F18:AW18)</f>
        <v>0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</row>
    <row r="19" spans="1:61" ht="30" customHeight="1">
      <c r="A19" s="6">
        <v>14</v>
      </c>
      <c r="B19" s="7" t="s">
        <v>67</v>
      </c>
      <c r="C19" s="6" t="s">
        <v>59</v>
      </c>
      <c r="D19" s="6" t="s">
        <v>73</v>
      </c>
      <c r="E19" s="6" t="s">
        <v>66</v>
      </c>
      <c r="F19" s="68"/>
      <c r="G19" s="68"/>
      <c r="H19" s="68"/>
      <c r="I19" s="68"/>
      <c r="J19" s="65"/>
      <c r="K19" s="65"/>
      <c r="L19" s="65"/>
      <c r="M19" s="65"/>
      <c r="N19" s="65"/>
      <c r="O19" s="72"/>
      <c r="P19" s="72"/>
      <c r="Q19" s="72"/>
      <c r="R19" s="72"/>
      <c r="S19" s="75"/>
      <c r="T19" s="75"/>
      <c r="U19" s="75"/>
      <c r="V19" s="75"/>
      <c r="W19" s="75"/>
      <c r="X19" s="80"/>
      <c r="Y19" s="80"/>
      <c r="Z19" s="80"/>
      <c r="AA19" s="80"/>
      <c r="AB19" s="62"/>
      <c r="AC19" s="62"/>
      <c r="AD19" s="62"/>
      <c r="AE19" s="62"/>
      <c r="AF19" s="65"/>
      <c r="AG19" s="65"/>
      <c r="AH19" s="65"/>
      <c r="AI19" s="65"/>
      <c r="AJ19" s="65"/>
      <c r="AK19" s="72"/>
      <c r="AL19" s="72"/>
      <c r="AM19" s="73"/>
      <c r="AN19" s="73"/>
      <c r="AO19" s="76"/>
      <c r="AP19" s="76"/>
      <c r="AQ19" s="76"/>
      <c r="AR19" s="76"/>
      <c r="AS19" s="79"/>
      <c r="AT19" s="79"/>
      <c r="AU19" s="79"/>
      <c r="AV19" s="79"/>
      <c r="AW19" s="79"/>
      <c r="AX19" s="3">
        <f>SUM(F19:AW19)</f>
        <v>0</v>
      </c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</row>
    <row r="20" spans="1:61" ht="30" customHeight="1">
      <c r="A20" s="6">
        <v>15</v>
      </c>
      <c r="B20" s="7" t="s">
        <v>22</v>
      </c>
      <c r="C20" s="6" t="s">
        <v>59</v>
      </c>
      <c r="D20" s="6" t="s">
        <v>80</v>
      </c>
      <c r="E20" s="6" t="s">
        <v>77</v>
      </c>
      <c r="F20" s="68"/>
      <c r="G20" s="68"/>
      <c r="H20" s="68"/>
      <c r="I20" s="68"/>
      <c r="J20" s="65"/>
      <c r="K20" s="65"/>
      <c r="L20" s="65"/>
      <c r="M20" s="65"/>
      <c r="N20" s="65"/>
      <c r="O20" s="72"/>
      <c r="P20" s="72"/>
      <c r="Q20" s="72"/>
      <c r="R20" s="72"/>
      <c r="S20" s="75"/>
      <c r="T20" s="75"/>
      <c r="U20" s="75"/>
      <c r="V20" s="75"/>
      <c r="W20" s="75"/>
      <c r="X20" s="80"/>
      <c r="Y20" s="80"/>
      <c r="Z20" s="79"/>
      <c r="AA20" s="79"/>
      <c r="AB20" s="63"/>
      <c r="AC20" s="63"/>
      <c r="AD20" s="63"/>
      <c r="AE20" s="63"/>
      <c r="AF20" s="66"/>
      <c r="AG20" s="66"/>
      <c r="AH20" s="66"/>
      <c r="AI20" s="66"/>
      <c r="AJ20" s="66"/>
      <c r="AK20" s="73"/>
      <c r="AL20" s="73"/>
      <c r="AM20" s="73"/>
      <c r="AN20" s="73"/>
      <c r="AO20" s="76"/>
      <c r="AP20" s="76"/>
      <c r="AQ20" s="76"/>
      <c r="AR20" s="76"/>
      <c r="AS20" s="79"/>
      <c r="AT20" s="79"/>
      <c r="AU20" s="79"/>
      <c r="AV20" s="79"/>
      <c r="AW20" s="79"/>
      <c r="AX20" s="3">
        <f>SUM(F20:AW20)</f>
        <v>0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</row>
    <row r="21" spans="1:61" ht="30" customHeight="1">
      <c r="A21" s="6">
        <v>16</v>
      </c>
      <c r="B21" s="7" t="s">
        <v>111</v>
      </c>
      <c r="C21" s="6"/>
      <c r="D21" s="6" t="s">
        <v>113</v>
      </c>
      <c r="E21" s="6" t="s">
        <v>26</v>
      </c>
      <c r="F21" s="68"/>
      <c r="G21" s="68"/>
      <c r="H21" s="68"/>
      <c r="I21" s="68"/>
      <c r="J21" s="65"/>
      <c r="K21" s="65"/>
      <c r="L21" s="65"/>
      <c r="M21" s="65"/>
      <c r="N21" s="65"/>
      <c r="O21" s="72"/>
      <c r="P21" s="72"/>
      <c r="Q21" s="72"/>
      <c r="R21" s="72"/>
      <c r="S21" s="75"/>
      <c r="T21" s="75"/>
      <c r="U21" s="75"/>
      <c r="V21" s="75"/>
      <c r="W21" s="75"/>
      <c r="X21" s="80"/>
      <c r="Y21" s="80"/>
      <c r="Z21" s="80"/>
      <c r="AA21" s="80"/>
      <c r="AB21" s="62"/>
      <c r="AC21" s="62"/>
      <c r="AD21" s="62"/>
      <c r="AE21" s="62"/>
      <c r="AF21" s="65"/>
      <c r="AG21" s="65"/>
      <c r="AH21" s="65"/>
      <c r="AI21" s="65"/>
      <c r="AJ21" s="65"/>
      <c r="AK21" s="72"/>
      <c r="AL21" s="72"/>
      <c r="AM21" s="72"/>
      <c r="AN21" s="72"/>
      <c r="AO21" s="75"/>
      <c r="AP21" s="75"/>
      <c r="AQ21" s="75"/>
      <c r="AR21" s="75"/>
      <c r="AS21" s="80"/>
      <c r="AT21" s="80"/>
      <c r="AU21" s="80"/>
      <c r="AV21" s="80"/>
      <c r="AW21" s="80"/>
      <c r="AX21" s="3">
        <f>SUM(F21:AW21)</f>
        <v>0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</row>
    <row r="22" spans="1:61" ht="30" customHeight="1">
      <c r="A22" s="6">
        <v>17</v>
      </c>
      <c r="B22" s="29" t="s">
        <v>103</v>
      </c>
      <c r="C22" s="6" t="s">
        <v>59</v>
      </c>
      <c r="D22" s="6" t="s">
        <v>108</v>
      </c>
      <c r="E22" s="6" t="s">
        <v>104</v>
      </c>
      <c r="F22" s="68"/>
      <c r="G22" s="68"/>
      <c r="H22" s="68"/>
      <c r="I22" s="68"/>
      <c r="J22" s="65"/>
      <c r="K22" s="65"/>
      <c r="L22" s="65"/>
      <c r="M22" s="65"/>
      <c r="N22" s="65"/>
      <c r="O22" s="73"/>
      <c r="P22" s="73"/>
      <c r="Q22" s="73"/>
      <c r="R22" s="73"/>
      <c r="S22" s="76"/>
      <c r="T22" s="76"/>
      <c r="U22" s="76"/>
      <c r="V22" s="76"/>
      <c r="W22" s="76"/>
      <c r="X22" s="79"/>
      <c r="Y22" s="79"/>
      <c r="Z22" s="79"/>
      <c r="AA22" s="79"/>
      <c r="AB22" s="63"/>
      <c r="AC22" s="63"/>
      <c r="AD22" s="63"/>
      <c r="AE22" s="63"/>
      <c r="AF22" s="66"/>
      <c r="AG22" s="66"/>
      <c r="AH22" s="66"/>
      <c r="AI22" s="66"/>
      <c r="AJ22" s="66"/>
      <c r="AK22" s="73"/>
      <c r="AL22" s="73"/>
      <c r="AM22" s="73"/>
      <c r="AN22" s="73"/>
      <c r="AO22" s="76"/>
      <c r="AP22" s="76"/>
      <c r="AQ22" s="76"/>
      <c r="AR22" s="76"/>
      <c r="AS22" s="79"/>
      <c r="AT22" s="79"/>
      <c r="AU22" s="79"/>
      <c r="AV22" s="79"/>
      <c r="AW22" s="79"/>
      <c r="AX22" s="3">
        <f>SUM(F22:AW22)</f>
        <v>0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</row>
    <row r="23" spans="1:61" ht="30" customHeight="1">
      <c r="A23" s="6">
        <v>18</v>
      </c>
      <c r="B23" s="7" t="s">
        <v>96</v>
      </c>
      <c r="C23" s="6" t="s">
        <v>60</v>
      </c>
      <c r="D23" s="6" t="s">
        <v>101</v>
      </c>
      <c r="E23" s="6" t="s">
        <v>23</v>
      </c>
      <c r="F23" s="68"/>
      <c r="G23" s="68"/>
      <c r="H23" s="68"/>
      <c r="I23" s="68"/>
      <c r="J23" s="65"/>
      <c r="K23" s="65"/>
      <c r="L23" s="65"/>
      <c r="M23" s="65"/>
      <c r="N23" s="65"/>
      <c r="O23" s="72"/>
      <c r="P23" s="72"/>
      <c r="Q23" s="72"/>
      <c r="R23" s="72"/>
      <c r="S23" s="75"/>
      <c r="T23" s="75"/>
      <c r="U23" s="75"/>
      <c r="V23" s="75"/>
      <c r="W23" s="75"/>
      <c r="X23" s="80"/>
      <c r="Y23" s="80"/>
      <c r="Z23" s="80"/>
      <c r="AA23" s="80"/>
      <c r="AB23" s="63"/>
      <c r="AC23" s="63"/>
      <c r="AD23" s="63"/>
      <c r="AE23" s="63"/>
      <c r="AF23" s="66"/>
      <c r="AG23" s="66"/>
      <c r="AH23" s="66"/>
      <c r="AI23" s="66"/>
      <c r="AJ23" s="66"/>
      <c r="AK23" s="73"/>
      <c r="AL23" s="73"/>
      <c r="AM23" s="73"/>
      <c r="AN23" s="73"/>
      <c r="AO23" s="76"/>
      <c r="AP23" s="76"/>
      <c r="AQ23" s="76"/>
      <c r="AR23" s="76"/>
      <c r="AS23" s="79"/>
      <c r="AT23" s="79"/>
      <c r="AU23" s="79"/>
      <c r="AV23" s="79"/>
      <c r="AW23" s="79"/>
      <c r="AX23" s="3">
        <f>SUM(F23:AW23)</f>
        <v>0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spans="1:61" ht="30" customHeight="1">
      <c r="A24" s="6">
        <v>19</v>
      </c>
      <c r="B24" s="7" t="s">
        <v>115</v>
      </c>
      <c r="C24" s="6" t="s">
        <v>59</v>
      </c>
      <c r="D24" s="6" t="s">
        <v>32</v>
      </c>
      <c r="E24" s="6" t="s">
        <v>114</v>
      </c>
      <c r="F24" s="68"/>
      <c r="G24" s="68"/>
      <c r="H24" s="68"/>
      <c r="I24" s="68"/>
      <c r="J24" s="65"/>
      <c r="K24" s="65"/>
      <c r="L24" s="65"/>
      <c r="M24" s="65"/>
      <c r="N24" s="65"/>
      <c r="O24" s="72"/>
      <c r="P24" s="72"/>
      <c r="Q24" s="72"/>
      <c r="R24" s="72"/>
      <c r="S24" s="76"/>
      <c r="T24" s="76"/>
      <c r="U24" s="76"/>
      <c r="V24" s="76"/>
      <c r="W24" s="76"/>
      <c r="X24" s="79"/>
      <c r="Y24" s="79"/>
      <c r="Z24" s="79"/>
      <c r="AA24" s="79"/>
      <c r="AB24" s="63"/>
      <c r="AC24" s="63"/>
      <c r="AD24" s="63"/>
      <c r="AE24" s="63"/>
      <c r="AF24" s="66"/>
      <c r="AG24" s="66"/>
      <c r="AH24" s="66"/>
      <c r="AI24" s="66"/>
      <c r="AJ24" s="66"/>
      <c r="AK24" s="73"/>
      <c r="AL24" s="73"/>
      <c r="AM24" s="73"/>
      <c r="AN24" s="73"/>
      <c r="AO24" s="76"/>
      <c r="AP24" s="76"/>
      <c r="AQ24" s="76"/>
      <c r="AR24" s="76"/>
      <c r="AS24" s="79"/>
      <c r="AT24" s="79"/>
      <c r="AU24" s="79"/>
      <c r="AV24" s="79"/>
      <c r="AW24" s="79"/>
      <c r="AX24" s="3">
        <f>SUM(F24:AW24)</f>
        <v>0</v>
      </c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spans="1:61" ht="30" customHeight="1">
      <c r="A25" s="6">
        <v>20</v>
      </c>
      <c r="B25" s="7" t="s">
        <v>74</v>
      </c>
      <c r="C25" s="6" t="s">
        <v>61</v>
      </c>
      <c r="D25" s="6" t="s">
        <v>80</v>
      </c>
      <c r="E25" s="6" t="s">
        <v>77</v>
      </c>
      <c r="F25" s="68"/>
      <c r="G25" s="68"/>
      <c r="H25" s="68"/>
      <c r="I25" s="68"/>
      <c r="J25" s="65"/>
      <c r="K25" s="65"/>
      <c r="L25" s="65"/>
      <c r="M25" s="65"/>
      <c r="N25" s="65"/>
      <c r="O25" s="72"/>
      <c r="P25" s="72"/>
      <c r="Q25" s="72"/>
      <c r="R25" s="72"/>
      <c r="S25" s="75"/>
      <c r="T25" s="75"/>
      <c r="U25" s="75"/>
      <c r="V25" s="75"/>
      <c r="W25" s="75"/>
      <c r="X25" s="80"/>
      <c r="Y25" s="80"/>
      <c r="Z25" s="80"/>
      <c r="AA25" s="80"/>
      <c r="AB25" s="62"/>
      <c r="AC25" s="62"/>
      <c r="AD25" s="62"/>
      <c r="AE25" s="62"/>
      <c r="AF25" s="65"/>
      <c r="AG25" s="65"/>
      <c r="AH25" s="65"/>
      <c r="AI25" s="65"/>
      <c r="AJ25" s="65"/>
      <c r="AK25" s="72"/>
      <c r="AL25" s="72"/>
      <c r="AM25" s="72"/>
      <c r="AN25" s="72"/>
      <c r="AO25" s="75"/>
      <c r="AP25" s="75"/>
      <c r="AQ25" s="75"/>
      <c r="AR25" s="75"/>
      <c r="AS25" s="80"/>
      <c r="AT25" s="80"/>
      <c r="AU25" s="80"/>
      <c r="AV25" s="80"/>
      <c r="AW25" s="80"/>
      <c r="AX25" s="3">
        <f>SUM(F25:AW25)</f>
        <v>0</v>
      </c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spans="1:61" ht="30" customHeight="1">
      <c r="A26" s="6">
        <v>21</v>
      </c>
      <c r="B26" s="7" t="s">
        <v>68</v>
      </c>
      <c r="C26" s="6" t="s">
        <v>61</v>
      </c>
      <c r="D26" s="6" t="s">
        <v>73</v>
      </c>
      <c r="E26" s="6" t="s">
        <v>66</v>
      </c>
      <c r="F26" s="68"/>
      <c r="G26" s="68"/>
      <c r="H26" s="68"/>
      <c r="I26" s="68"/>
      <c r="J26" s="65"/>
      <c r="K26" s="65"/>
      <c r="L26" s="65"/>
      <c r="M26" s="65"/>
      <c r="N26" s="65"/>
      <c r="O26" s="73"/>
      <c r="P26" s="73"/>
      <c r="Q26" s="73"/>
      <c r="R26" s="73"/>
      <c r="S26" s="76"/>
      <c r="T26" s="76"/>
      <c r="U26" s="76"/>
      <c r="V26" s="76"/>
      <c r="W26" s="76"/>
      <c r="X26" s="79"/>
      <c r="Y26" s="79"/>
      <c r="Z26" s="79"/>
      <c r="AA26" s="79"/>
      <c r="AB26" s="63"/>
      <c r="AC26" s="63"/>
      <c r="AD26" s="63"/>
      <c r="AE26" s="63"/>
      <c r="AF26" s="66"/>
      <c r="AG26" s="66"/>
      <c r="AH26" s="66"/>
      <c r="AI26" s="66"/>
      <c r="AJ26" s="66"/>
      <c r="AK26" s="73"/>
      <c r="AL26" s="73"/>
      <c r="AM26" s="73"/>
      <c r="AN26" s="73"/>
      <c r="AO26" s="76"/>
      <c r="AP26" s="76"/>
      <c r="AQ26" s="76"/>
      <c r="AR26" s="76"/>
      <c r="AS26" s="79"/>
      <c r="AT26" s="79"/>
      <c r="AU26" s="79"/>
      <c r="AV26" s="79"/>
      <c r="AW26" s="79"/>
      <c r="AX26" s="3">
        <f>SUM(F26:AW26)</f>
        <v>0</v>
      </c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spans="1:61" ht="30" customHeight="1">
      <c r="A27" s="6">
        <v>22</v>
      </c>
      <c r="B27" s="7" t="s">
        <v>26</v>
      </c>
      <c r="C27" s="6" t="s">
        <v>60</v>
      </c>
      <c r="D27" s="6" t="s">
        <v>113</v>
      </c>
      <c r="E27" s="6" t="s">
        <v>26</v>
      </c>
      <c r="F27" s="68"/>
      <c r="G27" s="68"/>
      <c r="H27" s="68"/>
      <c r="I27" s="68"/>
      <c r="J27" s="65"/>
      <c r="K27" s="65"/>
      <c r="L27" s="65"/>
      <c r="M27" s="65"/>
      <c r="N27" s="65"/>
      <c r="O27" s="72"/>
      <c r="P27" s="72"/>
      <c r="Q27" s="72"/>
      <c r="R27" s="72"/>
      <c r="S27" s="75"/>
      <c r="T27" s="75"/>
      <c r="U27" s="75"/>
      <c r="V27" s="75"/>
      <c r="W27" s="75"/>
      <c r="X27" s="79"/>
      <c r="Y27" s="79"/>
      <c r="Z27" s="79"/>
      <c r="AA27" s="79"/>
      <c r="AB27" s="63"/>
      <c r="AC27" s="63"/>
      <c r="AD27" s="63"/>
      <c r="AE27" s="63"/>
      <c r="AF27" s="66"/>
      <c r="AG27" s="66"/>
      <c r="AH27" s="66"/>
      <c r="AI27" s="66"/>
      <c r="AJ27" s="66"/>
      <c r="AK27" s="73"/>
      <c r="AL27" s="73"/>
      <c r="AM27" s="73"/>
      <c r="AN27" s="73"/>
      <c r="AO27" s="76"/>
      <c r="AP27" s="76"/>
      <c r="AQ27" s="76"/>
      <c r="AR27" s="76"/>
      <c r="AS27" s="79"/>
      <c r="AT27" s="79"/>
      <c r="AU27" s="79"/>
      <c r="AV27" s="79"/>
      <c r="AW27" s="79"/>
      <c r="AX27" s="3">
        <f>SUM(F27:AW27)</f>
        <v>0</v>
      </c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spans="1:61" ht="30" customHeight="1">
      <c r="A28" s="6">
        <v>23</v>
      </c>
      <c r="B28" s="7" t="s">
        <v>55</v>
      </c>
      <c r="C28" s="6" t="s">
        <v>61</v>
      </c>
      <c r="D28" s="6" t="s">
        <v>63</v>
      </c>
      <c r="E28" s="6" t="s">
        <v>54</v>
      </c>
      <c r="F28" s="68"/>
      <c r="G28" s="68"/>
      <c r="H28" s="68"/>
      <c r="I28" s="68"/>
      <c r="J28" s="65"/>
      <c r="K28" s="65"/>
      <c r="L28" s="65"/>
      <c r="M28" s="65"/>
      <c r="N28" s="65"/>
      <c r="O28" s="72"/>
      <c r="P28" s="72"/>
      <c r="Q28" s="72"/>
      <c r="R28" s="72"/>
      <c r="S28" s="75"/>
      <c r="T28" s="75"/>
      <c r="U28" s="75"/>
      <c r="V28" s="75"/>
      <c r="W28" s="76"/>
      <c r="X28" s="79"/>
      <c r="Y28" s="79"/>
      <c r="Z28" s="79"/>
      <c r="AA28" s="79"/>
      <c r="AB28" s="63"/>
      <c r="AC28" s="63"/>
      <c r="AD28" s="63"/>
      <c r="AE28" s="63"/>
      <c r="AF28" s="66"/>
      <c r="AG28" s="66"/>
      <c r="AH28" s="66"/>
      <c r="AI28" s="66"/>
      <c r="AJ28" s="66"/>
      <c r="AK28" s="73"/>
      <c r="AL28" s="73"/>
      <c r="AM28" s="73"/>
      <c r="AN28" s="73"/>
      <c r="AO28" s="76"/>
      <c r="AP28" s="76"/>
      <c r="AQ28" s="76"/>
      <c r="AR28" s="76"/>
      <c r="AS28" s="79"/>
      <c r="AT28" s="79"/>
      <c r="AU28" s="79"/>
      <c r="AV28" s="79"/>
      <c r="AW28" s="79"/>
      <c r="AX28" s="3">
        <f>SUM(F28:AW28)</f>
        <v>0</v>
      </c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ht="30" customHeight="1">
      <c r="A29" s="6">
        <v>24</v>
      </c>
      <c r="B29" s="7" t="s">
        <v>28</v>
      </c>
      <c r="C29" s="6" t="s">
        <v>60</v>
      </c>
      <c r="D29" s="6" t="s">
        <v>101</v>
      </c>
      <c r="E29" s="6" t="s">
        <v>23</v>
      </c>
      <c r="F29" s="68"/>
      <c r="G29" s="68"/>
      <c r="H29" s="68"/>
      <c r="I29" s="68"/>
      <c r="J29" s="65"/>
      <c r="K29" s="65"/>
      <c r="L29" s="65"/>
      <c r="M29" s="65"/>
      <c r="N29" s="65"/>
      <c r="O29" s="72"/>
      <c r="P29" s="72"/>
      <c r="Q29" s="72"/>
      <c r="R29" s="72"/>
      <c r="S29" s="75"/>
      <c r="T29" s="75"/>
      <c r="U29" s="75"/>
      <c r="V29" s="75"/>
      <c r="W29" s="75"/>
      <c r="X29" s="80"/>
      <c r="Y29" s="80"/>
      <c r="Z29" s="79"/>
      <c r="AA29" s="79"/>
      <c r="AB29" s="63"/>
      <c r="AC29" s="63"/>
      <c r="AD29" s="63"/>
      <c r="AE29" s="63"/>
      <c r="AF29" s="66"/>
      <c r="AG29" s="66"/>
      <c r="AH29" s="66"/>
      <c r="AI29" s="66"/>
      <c r="AJ29" s="66"/>
      <c r="AK29" s="73"/>
      <c r="AL29" s="73"/>
      <c r="AM29" s="73"/>
      <c r="AN29" s="73"/>
      <c r="AO29" s="76"/>
      <c r="AP29" s="76"/>
      <c r="AQ29" s="76"/>
      <c r="AR29" s="76"/>
      <c r="AS29" s="79"/>
      <c r="AT29" s="79"/>
      <c r="AU29" s="79"/>
      <c r="AV29" s="79"/>
      <c r="AW29" s="79"/>
      <c r="AX29" s="3">
        <f>SUM(F29:AW29)</f>
        <v>0</v>
      </c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spans="1:61" ht="30" customHeight="1">
      <c r="A30" s="6">
        <v>25</v>
      </c>
      <c r="B30" s="7" t="s">
        <v>24</v>
      </c>
      <c r="C30" s="6" t="s">
        <v>61</v>
      </c>
      <c r="D30" s="6" t="s">
        <v>101</v>
      </c>
      <c r="E30" s="6" t="s">
        <v>23</v>
      </c>
      <c r="F30" s="68"/>
      <c r="G30" s="68"/>
      <c r="H30" s="68"/>
      <c r="I30" s="68"/>
      <c r="J30" s="65"/>
      <c r="K30" s="65"/>
      <c r="L30" s="65"/>
      <c r="M30" s="65"/>
      <c r="N30" s="65"/>
      <c r="O30" s="72"/>
      <c r="P30" s="72"/>
      <c r="Q30" s="72"/>
      <c r="R30" s="72"/>
      <c r="S30" s="75"/>
      <c r="T30" s="75"/>
      <c r="U30" s="75"/>
      <c r="V30" s="75"/>
      <c r="W30" s="75"/>
      <c r="X30" s="80"/>
      <c r="Y30" s="80"/>
      <c r="Z30" s="80"/>
      <c r="AA30" s="80"/>
      <c r="AB30" s="63"/>
      <c r="AC30" s="63"/>
      <c r="AD30" s="63"/>
      <c r="AE30" s="63"/>
      <c r="AF30" s="66"/>
      <c r="AG30" s="66"/>
      <c r="AH30" s="66"/>
      <c r="AI30" s="66"/>
      <c r="AJ30" s="66"/>
      <c r="AK30" s="73"/>
      <c r="AL30" s="73"/>
      <c r="AM30" s="72"/>
      <c r="AN30" s="73"/>
      <c r="AO30" s="76"/>
      <c r="AP30" s="76"/>
      <c r="AQ30" s="76"/>
      <c r="AR30" s="76"/>
      <c r="AS30" s="79"/>
      <c r="AT30" s="79"/>
      <c r="AU30" s="79"/>
      <c r="AV30" s="79"/>
      <c r="AW30" s="79"/>
      <c r="AX30" s="3">
        <f>SUM(F30:AW30)</f>
        <v>0</v>
      </c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spans="1:61" ht="30" customHeight="1">
      <c r="A31" s="6">
        <v>26</v>
      </c>
      <c r="B31" s="7" t="s">
        <v>18</v>
      </c>
      <c r="C31" s="6" t="s">
        <v>59</v>
      </c>
      <c r="D31" s="6" t="s">
        <v>86</v>
      </c>
      <c r="E31" s="6" t="s">
        <v>83</v>
      </c>
      <c r="F31" s="68"/>
      <c r="G31" s="68"/>
      <c r="H31" s="68"/>
      <c r="I31" s="68"/>
      <c r="J31" s="65"/>
      <c r="K31" s="65"/>
      <c r="L31" s="65"/>
      <c r="M31" s="65"/>
      <c r="N31" s="65"/>
      <c r="O31" s="72"/>
      <c r="P31" s="72"/>
      <c r="Q31" s="72"/>
      <c r="R31" s="72"/>
      <c r="S31" s="75"/>
      <c r="T31" s="75"/>
      <c r="U31" s="75"/>
      <c r="V31" s="75"/>
      <c r="W31" s="75"/>
      <c r="X31" s="80"/>
      <c r="Y31" s="80"/>
      <c r="Z31" s="80"/>
      <c r="AA31" s="80"/>
      <c r="AB31" s="62"/>
      <c r="AC31" s="62"/>
      <c r="AD31" s="62"/>
      <c r="AE31" s="62"/>
      <c r="AF31" s="65"/>
      <c r="AG31" s="65"/>
      <c r="AH31" s="65"/>
      <c r="AI31" s="65"/>
      <c r="AJ31" s="65"/>
      <c r="AK31" s="72"/>
      <c r="AL31" s="72"/>
      <c r="AM31" s="72"/>
      <c r="AN31" s="72"/>
      <c r="AO31" s="75"/>
      <c r="AP31" s="75"/>
      <c r="AQ31" s="75"/>
      <c r="AR31" s="75"/>
      <c r="AS31" s="80"/>
      <c r="AT31" s="80"/>
      <c r="AU31" s="80"/>
      <c r="AV31" s="80"/>
      <c r="AW31" s="80"/>
      <c r="AX31" s="3">
        <f>SUM(F31:AW31)</f>
        <v>0</v>
      </c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</row>
    <row r="32" spans="1:61" ht="30" customHeight="1">
      <c r="A32" s="6">
        <v>27</v>
      </c>
      <c r="B32" s="7" t="s">
        <v>25</v>
      </c>
      <c r="C32" s="6" t="s">
        <v>59</v>
      </c>
      <c r="D32" s="6" t="s">
        <v>94</v>
      </c>
      <c r="E32" s="6" t="s">
        <v>21</v>
      </c>
      <c r="F32" s="68"/>
      <c r="G32" s="68"/>
      <c r="H32" s="68"/>
      <c r="I32" s="68"/>
      <c r="J32" s="65"/>
      <c r="K32" s="65"/>
      <c r="L32" s="65"/>
      <c r="M32" s="65"/>
      <c r="N32" s="65"/>
      <c r="O32" s="72"/>
      <c r="P32" s="72"/>
      <c r="Q32" s="72"/>
      <c r="R32" s="72"/>
      <c r="S32" s="75"/>
      <c r="T32" s="76"/>
      <c r="U32" s="76"/>
      <c r="V32" s="76"/>
      <c r="W32" s="76"/>
      <c r="X32" s="79"/>
      <c r="Y32" s="79"/>
      <c r="Z32" s="79"/>
      <c r="AA32" s="79"/>
      <c r="AB32" s="63"/>
      <c r="AC32" s="63"/>
      <c r="AD32" s="63"/>
      <c r="AE32" s="63"/>
      <c r="AF32" s="66"/>
      <c r="AG32" s="66"/>
      <c r="AH32" s="66"/>
      <c r="AI32" s="66"/>
      <c r="AJ32" s="66"/>
      <c r="AK32" s="73"/>
      <c r="AL32" s="73"/>
      <c r="AM32" s="73"/>
      <c r="AN32" s="73"/>
      <c r="AO32" s="76"/>
      <c r="AP32" s="76"/>
      <c r="AQ32" s="76"/>
      <c r="AR32" s="76"/>
      <c r="AS32" s="79"/>
      <c r="AT32" s="79"/>
      <c r="AU32" s="79"/>
      <c r="AV32" s="79"/>
      <c r="AW32" s="79"/>
      <c r="AX32" s="3">
        <f>SUM(F32:AW32)</f>
        <v>0</v>
      </c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</row>
    <row r="33" spans="1:61" ht="30" customHeight="1">
      <c r="A33" s="6">
        <v>28</v>
      </c>
      <c r="B33" s="7" t="s">
        <v>88</v>
      </c>
      <c r="C33" s="6" t="s">
        <v>60</v>
      </c>
      <c r="D33" s="6" t="s">
        <v>94</v>
      </c>
      <c r="E33" s="6" t="s">
        <v>21</v>
      </c>
      <c r="F33" s="68"/>
      <c r="G33" s="68"/>
      <c r="H33" s="68"/>
      <c r="I33" s="68"/>
      <c r="J33" s="65"/>
      <c r="K33" s="65"/>
      <c r="L33" s="65"/>
      <c r="M33" s="65"/>
      <c r="N33" s="65"/>
      <c r="O33" s="72"/>
      <c r="P33" s="72"/>
      <c r="Q33" s="72"/>
      <c r="R33" s="72"/>
      <c r="S33" s="75"/>
      <c r="T33" s="75"/>
      <c r="U33" s="75"/>
      <c r="V33" s="75"/>
      <c r="W33" s="75"/>
      <c r="X33" s="80"/>
      <c r="Y33" s="80"/>
      <c r="Z33" s="80"/>
      <c r="AA33" s="80"/>
      <c r="AB33" s="63"/>
      <c r="AC33" s="63"/>
      <c r="AD33" s="63"/>
      <c r="AE33" s="63"/>
      <c r="AF33" s="66"/>
      <c r="AG33" s="66"/>
      <c r="AH33" s="66"/>
      <c r="AI33" s="66"/>
      <c r="AJ33" s="66"/>
      <c r="AK33" s="73"/>
      <c r="AL33" s="73"/>
      <c r="AM33" s="73"/>
      <c r="AN33" s="73"/>
      <c r="AO33" s="76"/>
      <c r="AP33" s="76"/>
      <c r="AQ33" s="76"/>
      <c r="AR33" s="76"/>
      <c r="AS33" s="79"/>
      <c r="AT33" s="79"/>
      <c r="AU33" s="79"/>
      <c r="AV33" s="79"/>
      <c r="AW33" s="79"/>
      <c r="AX33" s="3">
        <f>SUM(F33:AW33)</f>
        <v>0</v>
      </c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spans="1:61" ht="30" customHeight="1">
      <c r="A34" s="6">
        <v>29</v>
      </c>
      <c r="B34" s="7" t="s">
        <v>33</v>
      </c>
      <c r="C34" s="6" t="s">
        <v>34</v>
      </c>
      <c r="D34" s="6" t="s">
        <v>108</v>
      </c>
      <c r="E34" s="6" t="s">
        <v>104</v>
      </c>
      <c r="F34" s="68"/>
      <c r="G34" s="68"/>
      <c r="H34" s="68"/>
      <c r="I34" s="68"/>
      <c r="J34" s="65"/>
      <c r="K34" s="65"/>
      <c r="L34" s="65"/>
      <c r="M34" s="65"/>
      <c r="N34" s="65"/>
      <c r="O34" s="73"/>
      <c r="P34" s="73"/>
      <c r="Q34" s="73"/>
      <c r="R34" s="73"/>
      <c r="S34" s="76"/>
      <c r="T34" s="76"/>
      <c r="U34" s="76"/>
      <c r="V34" s="76"/>
      <c r="W34" s="76"/>
      <c r="X34" s="79"/>
      <c r="Y34" s="79"/>
      <c r="Z34" s="79"/>
      <c r="AA34" s="79"/>
      <c r="AB34" s="63"/>
      <c r="AC34" s="63"/>
      <c r="AD34" s="63"/>
      <c r="AE34" s="63"/>
      <c r="AF34" s="66"/>
      <c r="AG34" s="66"/>
      <c r="AH34" s="66"/>
      <c r="AI34" s="66"/>
      <c r="AJ34" s="66"/>
      <c r="AK34" s="73"/>
      <c r="AL34" s="73"/>
      <c r="AM34" s="73"/>
      <c r="AN34" s="73"/>
      <c r="AO34" s="76"/>
      <c r="AP34" s="76"/>
      <c r="AQ34" s="76"/>
      <c r="AR34" s="76"/>
      <c r="AS34" s="79"/>
      <c r="AT34" s="79"/>
      <c r="AU34" s="79"/>
      <c r="AV34" s="79"/>
      <c r="AW34" s="79"/>
      <c r="AX34" s="3">
        <f>SUM(F34:AW34)</f>
        <v>0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spans="1:61" ht="30" customHeight="1">
      <c r="A35" s="6">
        <v>30</v>
      </c>
      <c r="B35" s="7" t="s">
        <v>21</v>
      </c>
      <c r="C35" s="6" t="s">
        <v>59</v>
      </c>
      <c r="D35" s="6" t="s">
        <v>94</v>
      </c>
      <c r="E35" s="6" t="s">
        <v>21</v>
      </c>
      <c r="F35" s="68"/>
      <c r="G35" s="68"/>
      <c r="H35" s="68"/>
      <c r="I35" s="68"/>
      <c r="J35" s="65"/>
      <c r="K35" s="65"/>
      <c r="L35" s="65"/>
      <c r="M35" s="65"/>
      <c r="N35" s="65"/>
      <c r="O35" s="72"/>
      <c r="P35" s="72"/>
      <c r="Q35" s="72"/>
      <c r="R35" s="72"/>
      <c r="S35" s="75"/>
      <c r="T35" s="75"/>
      <c r="U35" s="75"/>
      <c r="V35" s="75"/>
      <c r="W35" s="75"/>
      <c r="X35" s="80"/>
      <c r="Y35" s="80"/>
      <c r="Z35" s="80"/>
      <c r="AA35" s="80"/>
      <c r="AB35" s="63"/>
      <c r="AC35" s="63"/>
      <c r="AD35" s="63"/>
      <c r="AE35" s="63"/>
      <c r="AF35" s="66"/>
      <c r="AG35" s="66"/>
      <c r="AH35" s="66"/>
      <c r="AI35" s="66"/>
      <c r="AJ35" s="66"/>
      <c r="AK35" s="73"/>
      <c r="AL35" s="73"/>
      <c r="AM35" s="73"/>
      <c r="AN35" s="73"/>
      <c r="AO35" s="76"/>
      <c r="AP35" s="76"/>
      <c r="AQ35" s="76"/>
      <c r="AR35" s="76"/>
      <c r="AS35" s="79"/>
      <c r="AT35" s="79"/>
      <c r="AU35" s="79"/>
      <c r="AV35" s="79"/>
      <c r="AW35" s="79"/>
      <c r="AX35" s="3">
        <f>SUM(F35:AW35)</f>
        <v>0</v>
      </c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spans="1:61" ht="30" customHeight="1">
      <c r="A36" s="6">
        <v>31</v>
      </c>
      <c r="B36" s="7" t="s">
        <v>36</v>
      </c>
      <c r="C36" s="6" t="s">
        <v>59</v>
      </c>
      <c r="D36" s="6" t="s">
        <v>113</v>
      </c>
      <c r="E36" s="6" t="s">
        <v>26</v>
      </c>
      <c r="F36" s="68"/>
      <c r="G36" s="68"/>
      <c r="H36" s="68"/>
      <c r="I36" s="68"/>
      <c r="J36" s="65"/>
      <c r="K36" s="65"/>
      <c r="L36" s="65"/>
      <c r="M36" s="65"/>
      <c r="N36" s="65"/>
      <c r="O36" s="72"/>
      <c r="P36" s="72"/>
      <c r="Q36" s="72"/>
      <c r="R36" s="72"/>
      <c r="S36" s="75"/>
      <c r="T36" s="76"/>
      <c r="U36" s="76"/>
      <c r="V36" s="76"/>
      <c r="W36" s="76"/>
      <c r="X36" s="79"/>
      <c r="Y36" s="79"/>
      <c r="Z36" s="79"/>
      <c r="AA36" s="79"/>
      <c r="AB36" s="63"/>
      <c r="AC36" s="63"/>
      <c r="AD36" s="63"/>
      <c r="AE36" s="63"/>
      <c r="AF36" s="66"/>
      <c r="AG36" s="66"/>
      <c r="AH36" s="66"/>
      <c r="AI36" s="66"/>
      <c r="AJ36" s="66"/>
      <c r="AK36" s="73"/>
      <c r="AL36" s="73"/>
      <c r="AM36" s="73"/>
      <c r="AN36" s="73"/>
      <c r="AO36" s="76"/>
      <c r="AP36" s="76"/>
      <c r="AQ36" s="76"/>
      <c r="AR36" s="76"/>
      <c r="AS36" s="79"/>
      <c r="AT36" s="79"/>
      <c r="AU36" s="79"/>
      <c r="AV36" s="79"/>
      <c r="AW36" s="79"/>
      <c r="AX36" s="3">
        <f>SUM(F36:AW36)</f>
        <v>0</v>
      </c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spans="1:61" ht="30" customHeight="1">
      <c r="A37" s="6">
        <v>32</v>
      </c>
      <c r="B37" s="7" t="s">
        <v>75</v>
      </c>
      <c r="C37" s="6" t="s">
        <v>59</v>
      </c>
      <c r="D37" s="6" t="s">
        <v>80</v>
      </c>
      <c r="E37" s="6" t="s">
        <v>77</v>
      </c>
      <c r="F37" s="68"/>
      <c r="G37" s="68"/>
      <c r="H37" s="68"/>
      <c r="I37" s="68"/>
      <c r="J37" s="65"/>
      <c r="K37" s="65"/>
      <c r="L37" s="65"/>
      <c r="M37" s="65"/>
      <c r="N37" s="65"/>
      <c r="O37" s="72"/>
      <c r="P37" s="72"/>
      <c r="Q37" s="72"/>
      <c r="R37" s="72"/>
      <c r="S37" s="75"/>
      <c r="T37" s="75"/>
      <c r="U37" s="76"/>
      <c r="V37" s="76"/>
      <c r="W37" s="76"/>
      <c r="X37" s="79"/>
      <c r="Y37" s="79"/>
      <c r="Z37" s="79"/>
      <c r="AA37" s="79"/>
      <c r="AB37" s="63"/>
      <c r="AC37" s="63"/>
      <c r="AD37" s="63"/>
      <c r="AE37" s="63"/>
      <c r="AF37" s="66"/>
      <c r="AG37" s="66"/>
      <c r="AH37" s="66"/>
      <c r="AI37" s="66"/>
      <c r="AJ37" s="66"/>
      <c r="AK37" s="73"/>
      <c r="AL37" s="73"/>
      <c r="AM37" s="73"/>
      <c r="AN37" s="73"/>
      <c r="AO37" s="76"/>
      <c r="AP37" s="76"/>
      <c r="AQ37" s="76"/>
      <c r="AR37" s="76"/>
      <c r="AS37" s="79"/>
      <c r="AT37" s="79"/>
      <c r="AU37" s="79"/>
      <c r="AV37" s="79"/>
      <c r="AW37" s="79"/>
      <c r="AX37" s="3">
        <f>SUM(F37:AW37)</f>
        <v>0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spans="1:61" ht="30" customHeight="1">
      <c r="A38" s="6">
        <v>33</v>
      </c>
      <c r="B38" s="7" t="s">
        <v>56</v>
      </c>
      <c r="C38" s="6" t="s">
        <v>34</v>
      </c>
      <c r="D38" s="6" t="s">
        <v>63</v>
      </c>
      <c r="E38" s="6" t="s">
        <v>54</v>
      </c>
      <c r="F38" s="68"/>
      <c r="G38" s="68"/>
      <c r="H38" s="68"/>
      <c r="I38" s="68"/>
      <c r="J38" s="65"/>
      <c r="K38" s="65"/>
      <c r="L38" s="65"/>
      <c r="M38" s="65"/>
      <c r="N38" s="65"/>
      <c r="O38" s="73"/>
      <c r="P38" s="73"/>
      <c r="Q38" s="73"/>
      <c r="R38" s="73"/>
      <c r="S38" s="76"/>
      <c r="T38" s="76"/>
      <c r="U38" s="76"/>
      <c r="V38" s="76"/>
      <c r="W38" s="76"/>
      <c r="X38" s="79"/>
      <c r="Y38" s="79"/>
      <c r="Z38" s="79"/>
      <c r="AA38" s="79"/>
      <c r="AB38" s="63"/>
      <c r="AC38" s="63"/>
      <c r="AD38" s="63"/>
      <c r="AE38" s="63"/>
      <c r="AF38" s="66"/>
      <c r="AG38" s="66"/>
      <c r="AH38" s="66"/>
      <c r="AI38" s="66"/>
      <c r="AJ38" s="66"/>
      <c r="AK38" s="73"/>
      <c r="AL38" s="73"/>
      <c r="AM38" s="73"/>
      <c r="AN38" s="73"/>
      <c r="AO38" s="76"/>
      <c r="AP38" s="76"/>
      <c r="AQ38" s="76"/>
      <c r="AR38" s="76"/>
      <c r="AS38" s="79"/>
      <c r="AT38" s="79"/>
      <c r="AU38" s="79"/>
      <c r="AV38" s="79"/>
      <c r="AW38" s="79"/>
      <c r="AX38" s="3">
        <f>SUM(F38:AW38)</f>
        <v>0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spans="1:61" ht="30" customHeight="1">
      <c r="A39" s="6">
        <v>34</v>
      </c>
      <c r="B39" s="7" t="s">
        <v>81</v>
      </c>
      <c r="C39" s="6" t="s">
        <v>34</v>
      </c>
      <c r="D39" s="6" t="s">
        <v>86</v>
      </c>
      <c r="E39" s="6" t="s">
        <v>83</v>
      </c>
      <c r="F39" s="68"/>
      <c r="G39" s="68"/>
      <c r="H39" s="68"/>
      <c r="I39" s="68"/>
      <c r="J39" s="65"/>
      <c r="K39" s="65"/>
      <c r="L39" s="65"/>
      <c r="M39" s="65"/>
      <c r="N39" s="65"/>
      <c r="O39" s="72"/>
      <c r="P39" s="72"/>
      <c r="Q39" s="72"/>
      <c r="R39" s="72"/>
      <c r="S39" s="75"/>
      <c r="T39" s="75"/>
      <c r="U39" s="75"/>
      <c r="V39" s="75"/>
      <c r="W39" s="75"/>
      <c r="X39" s="80"/>
      <c r="Y39" s="80"/>
      <c r="Z39" s="80"/>
      <c r="AA39" s="80"/>
      <c r="AB39" s="62"/>
      <c r="AC39" s="62"/>
      <c r="AD39" s="62"/>
      <c r="AE39" s="62"/>
      <c r="AF39" s="65"/>
      <c r="AG39" s="65"/>
      <c r="AH39" s="65"/>
      <c r="AI39" s="65"/>
      <c r="AJ39" s="65"/>
      <c r="AK39" s="72"/>
      <c r="AL39" s="72"/>
      <c r="AM39" s="72"/>
      <c r="AN39" s="72"/>
      <c r="AO39" s="75"/>
      <c r="AP39" s="75"/>
      <c r="AQ39" s="75"/>
      <c r="AR39" s="75"/>
      <c r="AS39" s="80"/>
      <c r="AT39" s="80"/>
      <c r="AU39" s="80"/>
      <c r="AV39" s="80"/>
      <c r="AW39" s="80"/>
      <c r="AX39" s="3">
        <f>SUM(F39:AW39)</f>
        <v>0</v>
      </c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spans="1:61" ht="30" customHeight="1">
      <c r="A40" s="6">
        <v>35</v>
      </c>
      <c r="B40" s="7" t="s">
        <v>97</v>
      </c>
      <c r="C40" s="6" t="s">
        <v>72</v>
      </c>
      <c r="D40" s="6" t="s">
        <v>101</v>
      </c>
      <c r="E40" s="6" t="s">
        <v>23</v>
      </c>
      <c r="F40" s="68"/>
      <c r="G40" s="68"/>
      <c r="H40" s="68"/>
      <c r="I40" s="68"/>
      <c r="J40" s="65"/>
      <c r="K40" s="65"/>
      <c r="L40" s="65"/>
      <c r="M40" s="65"/>
      <c r="N40" s="65"/>
      <c r="O40" s="73"/>
      <c r="P40" s="73"/>
      <c r="Q40" s="73"/>
      <c r="R40" s="73"/>
      <c r="S40" s="76"/>
      <c r="T40" s="76"/>
      <c r="U40" s="76"/>
      <c r="V40" s="76"/>
      <c r="W40" s="76"/>
      <c r="X40" s="79"/>
      <c r="Y40" s="79"/>
      <c r="Z40" s="79"/>
      <c r="AA40" s="79"/>
      <c r="AB40" s="63"/>
      <c r="AC40" s="63"/>
      <c r="AD40" s="63"/>
      <c r="AE40" s="63"/>
      <c r="AF40" s="66"/>
      <c r="AG40" s="66"/>
      <c r="AH40" s="66"/>
      <c r="AI40" s="66"/>
      <c r="AJ40" s="66"/>
      <c r="AK40" s="73"/>
      <c r="AL40" s="73"/>
      <c r="AM40" s="73"/>
      <c r="AN40" s="73"/>
      <c r="AO40" s="76"/>
      <c r="AP40" s="76"/>
      <c r="AQ40" s="76"/>
      <c r="AR40" s="76"/>
      <c r="AS40" s="79"/>
      <c r="AT40" s="79"/>
      <c r="AU40" s="79"/>
      <c r="AV40" s="79"/>
      <c r="AW40" s="79"/>
      <c r="AX40" s="3">
        <f>SUM(F40:AW40)</f>
        <v>0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spans="1:61" ht="30" customHeight="1">
      <c r="A41" s="6">
        <v>36</v>
      </c>
      <c r="B41" s="7" t="s">
        <v>20</v>
      </c>
      <c r="C41" s="6" t="s">
        <v>61</v>
      </c>
      <c r="D41" s="6" t="s">
        <v>63</v>
      </c>
      <c r="E41" s="6" t="s">
        <v>54</v>
      </c>
      <c r="F41" s="68"/>
      <c r="G41" s="68"/>
      <c r="H41" s="68"/>
      <c r="I41" s="68"/>
      <c r="J41" s="65"/>
      <c r="K41" s="65"/>
      <c r="L41" s="65"/>
      <c r="M41" s="65"/>
      <c r="N41" s="65"/>
      <c r="O41" s="72"/>
      <c r="P41" s="72"/>
      <c r="Q41" s="72"/>
      <c r="R41" s="72"/>
      <c r="S41" s="75"/>
      <c r="T41" s="75"/>
      <c r="U41" s="75"/>
      <c r="V41" s="75"/>
      <c r="W41" s="75"/>
      <c r="X41" s="80"/>
      <c r="Y41" s="80"/>
      <c r="Z41" s="80"/>
      <c r="AA41" s="80"/>
      <c r="AB41" s="62"/>
      <c r="AC41" s="62"/>
      <c r="AD41" s="62"/>
      <c r="AE41" s="62"/>
      <c r="AF41" s="65"/>
      <c r="AG41" s="65"/>
      <c r="AH41" s="65"/>
      <c r="AI41" s="65"/>
      <c r="AJ41" s="65"/>
      <c r="AK41" s="72"/>
      <c r="AL41" s="72"/>
      <c r="AM41" s="72"/>
      <c r="AN41" s="72"/>
      <c r="AO41" s="75"/>
      <c r="AP41" s="75"/>
      <c r="AQ41" s="75"/>
      <c r="AR41" s="75"/>
      <c r="AS41" s="80"/>
      <c r="AT41" s="80"/>
      <c r="AU41" s="80"/>
      <c r="AV41" s="80"/>
      <c r="AW41" s="80"/>
      <c r="AX41" s="3">
        <f>SUM(F41:AW41)</f>
        <v>0</v>
      </c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spans="1:61" ht="30" customHeight="1">
      <c r="A42" s="6">
        <v>37</v>
      </c>
      <c r="B42" s="7" t="s">
        <v>89</v>
      </c>
      <c r="C42" s="6" t="s">
        <v>34</v>
      </c>
      <c r="D42" s="6" t="s">
        <v>94</v>
      </c>
      <c r="E42" s="6" t="s">
        <v>21</v>
      </c>
      <c r="F42" s="68"/>
      <c r="G42" s="68"/>
      <c r="H42" s="68"/>
      <c r="I42" s="68"/>
      <c r="J42" s="65"/>
      <c r="K42" s="65"/>
      <c r="L42" s="65"/>
      <c r="M42" s="65"/>
      <c r="N42" s="65"/>
      <c r="O42" s="72"/>
      <c r="P42" s="72"/>
      <c r="Q42" s="72"/>
      <c r="R42" s="72"/>
      <c r="S42" s="75"/>
      <c r="T42" s="75"/>
      <c r="U42" s="75"/>
      <c r="V42" s="75"/>
      <c r="W42" s="75"/>
      <c r="X42" s="80"/>
      <c r="Y42" s="79"/>
      <c r="Z42" s="79"/>
      <c r="AA42" s="79"/>
      <c r="AB42" s="63"/>
      <c r="AC42" s="63"/>
      <c r="AD42" s="63"/>
      <c r="AE42" s="63"/>
      <c r="AF42" s="66"/>
      <c r="AG42" s="66"/>
      <c r="AH42" s="66"/>
      <c r="AI42" s="66"/>
      <c r="AJ42" s="66"/>
      <c r="AK42" s="73"/>
      <c r="AL42" s="73"/>
      <c r="AM42" s="73"/>
      <c r="AN42" s="73"/>
      <c r="AO42" s="76"/>
      <c r="AP42" s="76"/>
      <c r="AQ42" s="76"/>
      <c r="AR42" s="76"/>
      <c r="AS42" s="79"/>
      <c r="AT42" s="79"/>
      <c r="AU42" s="79"/>
      <c r="AV42" s="79"/>
      <c r="AW42" s="79"/>
      <c r="AX42" s="3">
        <f>SUM(F42:AW42)</f>
        <v>0</v>
      </c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  <row r="43" spans="1:61" ht="30" customHeight="1">
      <c r="A43" s="6">
        <v>38</v>
      </c>
      <c r="B43" s="7" t="s">
        <v>98</v>
      </c>
      <c r="C43" s="6" t="s">
        <v>61</v>
      </c>
      <c r="D43" s="6" t="s">
        <v>101</v>
      </c>
      <c r="E43" s="6" t="s">
        <v>23</v>
      </c>
      <c r="F43" s="68"/>
      <c r="G43" s="68"/>
      <c r="H43" s="68"/>
      <c r="I43" s="68"/>
      <c r="J43" s="65"/>
      <c r="K43" s="65"/>
      <c r="L43" s="65"/>
      <c r="M43" s="65"/>
      <c r="N43" s="65"/>
      <c r="O43" s="73"/>
      <c r="P43" s="73"/>
      <c r="Q43" s="73"/>
      <c r="R43" s="73"/>
      <c r="S43" s="76"/>
      <c r="T43" s="76"/>
      <c r="U43" s="76"/>
      <c r="V43" s="76"/>
      <c r="W43" s="76"/>
      <c r="X43" s="79"/>
      <c r="Y43" s="79"/>
      <c r="Z43" s="79"/>
      <c r="AA43" s="79"/>
      <c r="AB43" s="63"/>
      <c r="AC43" s="63"/>
      <c r="AD43" s="63"/>
      <c r="AE43" s="63"/>
      <c r="AF43" s="66"/>
      <c r="AG43" s="66"/>
      <c r="AH43" s="66"/>
      <c r="AI43" s="66"/>
      <c r="AJ43" s="66"/>
      <c r="AK43" s="73"/>
      <c r="AL43" s="73"/>
      <c r="AM43" s="73"/>
      <c r="AN43" s="73"/>
      <c r="AO43" s="76"/>
      <c r="AP43" s="76"/>
      <c r="AQ43" s="76"/>
      <c r="AR43" s="76"/>
      <c r="AS43" s="79"/>
      <c r="AT43" s="79"/>
      <c r="AU43" s="79"/>
      <c r="AV43" s="79"/>
      <c r="AW43" s="79"/>
      <c r="AX43" s="3">
        <f>SUM(F43:AW43)</f>
        <v>0</v>
      </c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</row>
    <row r="44" spans="1:61" ht="30" customHeight="1">
      <c r="A44" s="6">
        <v>39</v>
      </c>
      <c r="B44" s="7" t="s">
        <v>104</v>
      </c>
      <c r="C44" s="6" t="s">
        <v>61</v>
      </c>
      <c r="D44" s="6" t="s">
        <v>108</v>
      </c>
      <c r="E44" s="6" t="s">
        <v>104</v>
      </c>
      <c r="F44" s="68"/>
      <c r="G44" s="68"/>
      <c r="H44" s="68"/>
      <c r="I44" s="68"/>
      <c r="J44" s="65"/>
      <c r="K44" s="65"/>
      <c r="L44" s="65"/>
      <c r="M44" s="65"/>
      <c r="N44" s="65"/>
      <c r="O44" s="72"/>
      <c r="P44" s="72"/>
      <c r="Q44" s="72"/>
      <c r="R44" s="72"/>
      <c r="S44" s="75"/>
      <c r="T44" s="75"/>
      <c r="U44" s="75"/>
      <c r="V44" s="75"/>
      <c r="W44" s="75"/>
      <c r="X44" s="80"/>
      <c r="Y44" s="80"/>
      <c r="Z44" s="80"/>
      <c r="AA44" s="80"/>
      <c r="AB44" s="62"/>
      <c r="AC44" s="62"/>
      <c r="AD44" s="62"/>
      <c r="AE44" s="62"/>
      <c r="AF44" s="65"/>
      <c r="AG44" s="65"/>
      <c r="AH44" s="65"/>
      <c r="AI44" s="65"/>
      <c r="AJ44" s="65"/>
      <c r="AK44" s="72"/>
      <c r="AL44" s="72"/>
      <c r="AM44" s="72"/>
      <c r="AN44" s="72"/>
      <c r="AO44" s="75"/>
      <c r="AP44" s="75"/>
      <c r="AQ44" s="75"/>
      <c r="AR44" s="75"/>
      <c r="AS44" s="80"/>
      <c r="AT44" s="80"/>
      <c r="AU44" s="80"/>
      <c r="AV44" s="80"/>
      <c r="AW44" s="80"/>
      <c r="AX44" s="3">
        <f>SUM(F44:AW44)</f>
        <v>0</v>
      </c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</row>
    <row r="45" spans="1:61" ht="30" customHeight="1">
      <c r="A45" s="6">
        <v>40</v>
      </c>
      <c r="B45" s="7" t="s">
        <v>109</v>
      </c>
      <c r="C45" s="6" t="s">
        <v>34</v>
      </c>
      <c r="D45" s="6" t="s">
        <v>113</v>
      </c>
      <c r="E45" s="6" t="s">
        <v>26</v>
      </c>
      <c r="F45" s="68"/>
      <c r="G45" s="68"/>
      <c r="H45" s="68"/>
      <c r="I45" s="68"/>
      <c r="J45" s="65"/>
      <c r="K45" s="65"/>
      <c r="L45" s="65"/>
      <c r="M45" s="65"/>
      <c r="N45" s="65"/>
      <c r="O45" s="72"/>
      <c r="P45" s="72"/>
      <c r="Q45" s="72"/>
      <c r="R45" s="72"/>
      <c r="S45" s="75"/>
      <c r="T45" s="75"/>
      <c r="U45" s="75"/>
      <c r="V45" s="75"/>
      <c r="W45" s="75"/>
      <c r="X45" s="80"/>
      <c r="Y45" s="80"/>
      <c r="Z45" s="80"/>
      <c r="AA45" s="80"/>
      <c r="AB45" s="62"/>
      <c r="AC45" s="62"/>
      <c r="AD45" s="63"/>
      <c r="AE45" s="63"/>
      <c r="AF45" s="66"/>
      <c r="AG45" s="66"/>
      <c r="AH45" s="66"/>
      <c r="AI45" s="66"/>
      <c r="AJ45" s="66"/>
      <c r="AK45" s="73"/>
      <c r="AL45" s="73"/>
      <c r="AM45" s="73"/>
      <c r="AN45" s="73"/>
      <c r="AO45" s="76"/>
      <c r="AP45" s="76"/>
      <c r="AQ45" s="76"/>
      <c r="AR45" s="76"/>
      <c r="AS45" s="79"/>
      <c r="AT45" s="79"/>
      <c r="AU45" s="79"/>
      <c r="AV45" s="79"/>
      <c r="AW45" s="79"/>
      <c r="AX45" s="3">
        <f>SUM(F45:AW45)</f>
        <v>0</v>
      </c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</row>
    <row r="46" spans="1:61" ht="30" customHeight="1">
      <c r="A46" s="6">
        <v>41</v>
      </c>
      <c r="B46" s="7" t="s">
        <v>35</v>
      </c>
      <c r="C46" s="6" t="s">
        <v>34</v>
      </c>
      <c r="D46" s="6" t="s">
        <v>113</v>
      </c>
      <c r="E46" s="6" t="s">
        <v>26</v>
      </c>
      <c r="F46" s="68"/>
      <c r="G46" s="68"/>
      <c r="H46" s="68"/>
      <c r="I46" s="68"/>
      <c r="J46" s="65"/>
      <c r="K46" s="65"/>
      <c r="L46" s="65"/>
      <c r="M46" s="65"/>
      <c r="N46" s="65"/>
      <c r="O46" s="72"/>
      <c r="P46" s="72"/>
      <c r="Q46" s="72"/>
      <c r="R46" s="73"/>
      <c r="S46" s="76"/>
      <c r="T46" s="76"/>
      <c r="U46" s="76"/>
      <c r="V46" s="76"/>
      <c r="W46" s="76"/>
      <c r="X46" s="79"/>
      <c r="Y46" s="79"/>
      <c r="Z46" s="79"/>
      <c r="AA46" s="79"/>
      <c r="AB46" s="63"/>
      <c r="AC46" s="63"/>
      <c r="AD46" s="63"/>
      <c r="AE46" s="63"/>
      <c r="AF46" s="66"/>
      <c r="AG46" s="66"/>
      <c r="AH46" s="66"/>
      <c r="AI46" s="66"/>
      <c r="AJ46" s="66"/>
      <c r="AK46" s="73"/>
      <c r="AL46" s="73"/>
      <c r="AM46" s="73"/>
      <c r="AN46" s="73"/>
      <c r="AO46" s="76"/>
      <c r="AP46" s="76"/>
      <c r="AQ46" s="76"/>
      <c r="AR46" s="76"/>
      <c r="AS46" s="79"/>
      <c r="AT46" s="79"/>
      <c r="AU46" s="79"/>
      <c r="AV46" s="79"/>
      <c r="AW46" s="79"/>
      <c r="AX46" s="3">
        <f>SUM(F46:AW46)</f>
        <v>0</v>
      </c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</row>
    <row r="47" spans="1:61" ht="30" customHeight="1">
      <c r="A47" s="6">
        <v>42</v>
      </c>
      <c r="B47" s="7" t="s">
        <v>90</v>
      </c>
      <c r="C47" s="6" t="s">
        <v>34</v>
      </c>
      <c r="D47" s="6" t="s">
        <v>94</v>
      </c>
      <c r="E47" s="6" t="s">
        <v>21</v>
      </c>
      <c r="F47" s="68"/>
      <c r="G47" s="68"/>
      <c r="H47" s="68"/>
      <c r="I47" s="68"/>
      <c r="J47" s="65"/>
      <c r="K47" s="65"/>
      <c r="L47" s="65"/>
      <c r="M47" s="65"/>
      <c r="N47" s="65"/>
      <c r="O47" s="72"/>
      <c r="P47" s="72"/>
      <c r="Q47" s="72"/>
      <c r="R47" s="72"/>
      <c r="S47" s="75"/>
      <c r="T47" s="75"/>
      <c r="U47" s="75"/>
      <c r="V47" s="75"/>
      <c r="W47" s="75"/>
      <c r="X47" s="80"/>
      <c r="Y47" s="80"/>
      <c r="Z47" s="80"/>
      <c r="AA47" s="80"/>
      <c r="AB47" s="62"/>
      <c r="AC47" s="62"/>
      <c r="AD47" s="62"/>
      <c r="AE47" s="62"/>
      <c r="AF47" s="65"/>
      <c r="AG47" s="65"/>
      <c r="AH47" s="65"/>
      <c r="AI47" s="65"/>
      <c r="AJ47" s="65"/>
      <c r="AK47" s="72"/>
      <c r="AL47" s="72"/>
      <c r="AM47" s="72"/>
      <c r="AN47" s="73"/>
      <c r="AO47" s="76"/>
      <c r="AP47" s="76"/>
      <c r="AQ47" s="76"/>
      <c r="AR47" s="76"/>
      <c r="AS47" s="79"/>
      <c r="AT47" s="79"/>
      <c r="AU47" s="79"/>
      <c r="AV47" s="79"/>
      <c r="AW47" s="79"/>
      <c r="AX47" s="3">
        <f>SUM(F47:AW47)</f>
        <v>0</v>
      </c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</row>
    <row r="48" spans="1:61" ht="30" customHeight="1">
      <c r="A48" s="6">
        <v>43</v>
      </c>
      <c r="B48" s="7" t="s">
        <v>69</v>
      </c>
      <c r="C48" s="6" t="s">
        <v>72</v>
      </c>
      <c r="D48" s="6" t="s">
        <v>73</v>
      </c>
      <c r="E48" s="6" t="s">
        <v>66</v>
      </c>
      <c r="F48" s="68"/>
      <c r="G48" s="68"/>
      <c r="H48" s="68"/>
      <c r="I48" s="68"/>
      <c r="J48" s="65"/>
      <c r="K48" s="65"/>
      <c r="L48" s="65"/>
      <c r="M48" s="65"/>
      <c r="N48" s="65"/>
      <c r="O48" s="72"/>
      <c r="P48" s="72"/>
      <c r="Q48" s="72"/>
      <c r="R48" s="72"/>
      <c r="S48" s="75"/>
      <c r="T48" s="75"/>
      <c r="U48" s="75"/>
      <c r="V48" s="75"/>
      <c r="W48" s="75"/>
      <c r="X48" s="80"/>
      <c r="Y48" s="80"/>
      <c r="Z48" s="80"/>
      <c r="AA48" s="80"/>
      <c r="AB48" s="62"/>
      <c r="AC48" s="62"/>
      <c r="AD48" s="62"/>
      <c r="AE48" s="62"/>
      <c r="AF48" s="65"/>
      <c r="AG48" s="65"/>
      <c r="AH48" s="65"/>
      <c r="AI48" s="65"/>
      <c r="AJ48" s="65"/>
      <c r="AK48" s="72"/>
      <c r="AL48" s="72"/>
      <c r="AM48" s="72"/>
      <c r="AN48" s="72"/>
      <c r="AO48" s="75"/>
      <c r="AP48" s="75"/>
      <c r="AQ48" s="75"/>
      <c r="AR48" s="75"/>
      <c r="AS48" s="80"/>
      <c r="AT48" s="80"/>
      <c r="AU48" s="80"/>
      <c r="AV48" s="80"/>
      <c r="AW48" s="80"/>
      <c r="AX48" s="3">
        <f>SUM(F48:AW48)</f>
        <v>0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</row>
    <row r="49" spans="1:61" ht="30" customHeight="1">
      <c r="A49" s="6">
        <v>44</v>
      </c>
      <c r="B49" s="7" t="s">
        <v>30</v>
      </c>
      <c r="C49" s="6" t="s">
        <v>61</v>
      </c>
      <c r="D49" s="6" t="s">
        <v>63</v>
      </c>
      <c r="E49" s="6" t="s">
        <v>54</v>
      </c>
      <c r="F49" s="68"/>
      <c r="G49" s="68"/>
      <c r="H49" s="68"/>
      <c r="I49" s="68"/>
      <c r="J49" s="65"/>
      <c r="K49" s="65"/>
      <c r="L49" s="65"/>
      <c r="M49" s="65"/>
      <c r="N49" s="65"/>
      <c r="O49" s="72"/>
      <c r="P49" s="72"/>
      <c r="Q49" s="72"/>
      <c r="R49" s="72"/>
      <c r="S49" s="76"/>
      <c r="T49" s="76"/>
      <c r="U49" s="76"/>
      <c r="V49" s="76"/>
      <c r="W49" s="76"/>
      <c r="X49" s="79"/>
      <c r="Y49" s="79"/>
      <c r="Z49" s="79"/>
      <c r="AA49" s="79"/>
      <c r="AB49" s="63"/>
      <c r="AC49" s="63"/>
      <c r="AD49" s="63"/>
      <c r="AE49" s="63"/>
      <c r="AF49" s="66"/>
      <c r="AG49" s="66"/>
      <c r="AH49" s="66"/>
      <c r="AI49" s="66"/>
      <c r="AJ49" s="66"/>
      <c r="AK49" s="73"/>
      <c r="AL49" s="73"/>
      <c r="AM49" s="73"/>
      <c r="AN49" s="73"/>
      <c r="AO49" s="76"/>
      <c r="AP49" s="76"/>
      <c r="AQ49" s="76"/>
      <c r="AR49" s="76"/>
      <c r="AS49" s="79"/>
      <c r="AT49" s="79"/>
      <c r="AU49" s="79"/>
      <c r="AV49" s="79"/>
      <c r="AW49" s="79"/>
      <c r="AX49" s="3">
        <f>SUM(F49:AW49)</f>
        <v>0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</row>
    <row r="50" spans="1:61" ht="30" customHeight="1">
      <c r="A50" s="6">
        <v>45</v>
      </c>
      <c r="B50" s="7" t="s">
        <v>70</v>
      </c>
      <c r="C50" s="6" t="s">
        <v>59</v>
      </c>
      <c r="D50" s="6" t="s">
        <v>73</v>
      </c>
      <c r="E50" s="6" t="s">
        <v>66</v>
      </c>
      <c r="F50" s="68"/>
      <c r="G50" s="68"/>
      <c r="H50" s="68"/>
      <c r="I50" s="68"/>
      <c r="J50" s="65"/>
      <c r="K50" s="65"/>
      <c r="L50" s="65"/>
      <c r="M50" s="65"/>
      <c r="N50" s="65"/>
      <c r="O50" s="73"/>
      <c r="P50" s="73"/>
      <c r="Q50" s="73"/>
      <c r="R50" s="73"/>
      <c r="S50" s="76"/>
      <c r="T50" s="76"/>
      <c r="U50" s="76"/>
      <c r="V50" s="76"/>
      <c r="W50" s="76"/>
      <c r="X50" s="79"/>
      <c r="Y50" s="79"/>
      <c r="Z50" s="79"/>
      <c r="AA50" s="79"/>
      <c r="AB50" s="63"/>
      <c r="AC50" s="63"/>
      <c r="AD50" s="63"/>
      <c r="AE50" s="63"/>
      <c r="AF50" s="66"/>
      <c r="AG50" s="66"/>
      <c r="AH50" s="66"/>
      <c r="AI50" s="66"/>
      <c r="AJ50" s="66"/>
      <c r="AK50" s="73"/>
      <c r="AL50" s="73"/>
      <c r="AM50" s="73"/>
      <c r="AN50" s="73"/>
      <c r="AO50" s="76"/>
      <c r="AP50" s="76"/>
      <c r="AQ50" s="76"/>
      <c r="AR50" s="76"/>
      <c r="AS50" s="79"/>
      <c r="AT50" s="79"/>
      <c r="AU50" s="79"/>
      <c r="AV50" s="79"/>
      <c r="AW50" s="79"/>
      <c r="AX50" s="3">
        <f>SUM(F50:AW50)</f>
        <v>0</v>
      </c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</row>
    <row r="51" spans="1:61" ht="30" customHeight="1">
      <c r="A51" s="6">
        <v>46</v>
      </c>
      <c r="B51" s="7" t="s">
        <v>57</v>
      </c>
      <c r="C51" s="6" t="s">
        <v>59</v>
      </c>
      <c r="D51" s="6" t="s">
        <v>63</v>
      </c>
      <c r="E51" s="6" t="s">
        <v>54</v>
      </c>
      <c r="F51" s="68"/>
      <c r="G51" s="68"/>
      <c r="H51" s="68"/>
      <c r="I51" s="68"/>
      <c r="J51" s="65"/>
      <c r="K51" s="65"/>
      <c r="L51" s="65"/>
      <c r="M51" s="65"/>
      <c r="N51" s="65"/>
      <c r="O51" s="72"/>
      <c r="P51" s="72"/>
      <c r="Q51" s="72"/>
      <c r="R51" s="72"/>
      <c r="S51" s="75"/>
      <c r="T51" s="76"/>
      <c r="U51" s="76"/>
      <c r="V51" s="76"/>
      <c r="W51" s="76"/>
      <c r="X51" s="79"/>
      <c r="Y51" s="79"/>
      <c r="Z51" s="79"/>
      <c r="AA51" s="79"/>
      <c r="AB51" s="63"/>
      <c r="AC51" s="63"/>
      <c r="AD51" s="63"/>
      <c r="AE51" s="63"/>
      <c r="AF51" s="66"/>
      <c r="AG51" s="66"/>
      <c r="AH51" s="66"/>
      <c r="AI51" s="66"/>
      <c r="AJ51" s="66"/>
      <c r="AK51" s="73"/>
      <c r="AL51" s="73"/>
      <c r="AM51" s="73"/>
      <c r="AN51" s="73"/>
      <c r="AO51" s="76"/>
      <c r="AP51" s="76"/>
      <c r="AQ51" s="76"/>
      <c r="AR51" s="76"/>
      <c r="AS51" s="79"/>
      <c r="AT51" s="79"/>
      <c r="AU51" s="79"/>
      <c r="AV51" s="79"/>
      <c r="AW51" s="79"/>
      <c r="AX51" s="3">
        <f>SUM(F51:AW51)</f>
        <v>0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</row>
    <row r="52" spans="1:61" ht="30" customHeight="1">
      <c r="A52" s="6">
        <v>47</v>
      </c>
      <c r="B52" s="7" t="s">
        <v>76</v>
      </c>
      <c r="C52" s="6" t="s">
        <v>59</v>
      </c>
      <c r="D52" s="6" t="s">
        <v>80</v>
      </c>
      <c r="E52" s="6" t="s">
        <v>77</v>
      </c>
      <c r="F52" s="68"/>
      <c r="G52" s="68"/>
      <c r="H52" s="68"/>
      <c r="I52" s="68"/>
      <c r="J52" s="65"/>
      <c r="K52" s="65"/>
      <c r="L52" s="65"/>
      <c r="M52" s="65"/>
      <c r="N52" s="65"/>
      <c r="O52" s="73"/>
      <c r="P52" s="73"/>
      <c r="Q52" s="73"/>
      <c r="R52" s="73"/>
      <c r="S52" s="76"/>
      <c r="T52" s="76"/>
      <c r="U52" s="76"/>
      <c r="V52" s="76"/>
      <c r="W52" s="76"/>
      <c r="X52" s="79"/>
      <c r="Y52" s="79"/>
      <c r="Z52" s="79"/>
      <c r="AA52" s="79"/>
      <c r="AB52" s="63"/>
      <c r="AC52" s="63"/>
      <c r="AD52" s="63"/>
      <c r="AE52" s="63"/>
      <c r="AF52" s="66"/>
      <c r="AG52" s="66"/>
      <c r="AH52" s="66"/>
      <c r="AI52" s="66"/>
      <c r="AJ52" s="66"/>
      <c r="AK52" s="73"/>
      <c r="AL52" s="73"/>
      <c r="AM52" s="73"/>
      <c r="AN52" s="73"/>
      <c r="AO52" s="76"/>
      <c r="AP52" s="76"/>
      <c r="AQ52" s="76"/>
      <c r="AR52" s="76"/>
      <c r="AS52" s="79"/>
      <c r="AT52" s="79"/>
      <c r="AU52" s="79"/>
      <c r="AV52" s="79"/>
      <c r="AW52" s="79"/>
      <c r="AX52" s="3">
        <f>SUM(F52:AW52)</f>
        <v>0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</row>
    <row r="53" spans="1:61" ht="30" customHeight="1">
      <c r="A53" s="6">
        <v>48</v>
      </c>
      <c r="B53" s="7" t="s">
        <v>91</v>
      </c>
      <c r="C53" s="6" t="s">
        <v>59</v>
      </c>
      <c r="D53" s="6" t="s">
        <v>94</v>
      </c>
      <c r="E53" s="6" t="s">
        <v>21</v>
      </c>
      <c r="F53" s="68"/>
      <c r="G53" s="68"/>
      <c r="H53" s="68"/>
      <c r="I53" s="68"/>
      <c r="J53" s="65"/>
      <c r="K53" s="65"/>
      <c r="L53" s="65"/>
      <c r="M53" s="65"/>
      <c r="N53" s="65"/>
      <c r="O53" s="72"/>
      <c r="P53" s="72"/>
      <c r="Q53" s="72"/>
      <c r="R53" s="72"/>
      <c r="S53" s="75"/>
      <c r="T53" s="75"/>
      <c r="U53" s="75"/>
      <c r="V53" s="75"/>
      <c r="W53" s="75"/>
      <c r="X53" s="80"/>
      <c r="Y53" s="80"/>
      <c r="Z53" s="80"/>
      <c r="AA53" s="80"/>
      <c r="AB53" s="62"/>
      <c r="AC53" s="62"/>
      <c r="AD53" s="62"/>
      <c r="AE53" s="62"/>
      <c r="AF53" s="65"/>
      <c r="AG53" s="65"/>
      <c r="AH53" s="65"/>
      <c r="AI53" s="65"/>
      <c r="AJ53" s="65"/>
      <c r="AK53" s="73"/>
      <c r="AL53" s="73"/>
      <c r="AM53" s="73"/>
      <c r="AN53" s="73"/>
      <c r="AO53" s="76"/>
      <c r="AP53" s="76"/>
      <c r="AQ53" s="76"/>
      <c r="AR53" s="76"/>
      <c r="AS53" s="79"/>
      <c r="AT53" s="79"/>
      <c r="AU53" s="79"/>
      <c r="AV53" s="79"/>
      <c r="AW53" s="79"/>
      <c r="AX53" s="3">
        <f>SUM(F53:AW53)</f>
        <v>0</v>
      </c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ht="30" customHeight="1">
      <c r="A54" s="6">
        <v>49</v>
      </c>
      <c r="B54" s="7" t="s">
        <v>27</v>
      </c>
      <c r="C54" s="6" t="s">
        <v>59</v>
      </c>
      <c r="D54" s="6" t="s">
        <v>86</v>
      </c>
      <c r="E54" s="6" t="s">
        <v>83</v>
      </c>
      <c r="F54" s="68"/>
      <c r="G54" s="68"/>
      <c r="H54" s="68"/>
      <c r="I54" s="68"/>
      <c r="J54" s="65"/>
      <c r="K54" s="65"/>
      <c r="L54" s="65"/>
      <c r="M54" s="65"/>
      <c r="N54" s="65"/>
      <c r="O54" s="73"/>
      <c r="P54" s="73"/>
      <c r="Q54" s="73"/>
      <c r="R54" s="73"/>
      <c r="S54" s="76"/>
      <c r="T54" s="76"/>
      <c r="U54" s="76"/>
      <c r="V54" s="76"/>
      <c r="W54" s="76"/>
      <c r="X54" s="79"/>
      <c r="Y54" s="79"/>
      <c r="Z54" s="79"/>
      <c r="AA54" s="79"/>
      <c r="AB54" s="63"/>
      <c r="AC54" s="63"/>
      <c r="AD54" s="63"/>
      <c r="AE54" s="63"/>
      <c r="AF54" s="66"/>
      <c r="AG54" s="66"/>
      <c r="AH54" s="66"/>
      <c r="AI54" s="66"/>
      <c r="AJ54" s="66"/>
      <c r="AK54" s="73"/>
      <c r="AL54" s="73"/>
      <c r="AM54" s="73"/>
      <c r="AN54" s="73"/>
      <c r="AO54" s="76"/>
      <c r="AP54" s="76"/>
      <c r="AQ54" s="76"/>
      <c r="AR54" s="76"/>
      <c r="AS54" s="79"/>
      <c r="AT54" s="79"/>
      <c r="AU54" s="79"/>
      <c r="AV54" s="79"/>
      <c r="AW54" s="79"/>
      <c r="AX54" s="3">
        <f>SUM(F54:AW54)</f>
        <v>0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spans="1:61" ht="30" customHeight="1">
      <c r="A55" s="6">
        <v>50</v>
      </c>
      <c r="B55" s="7" t="s">
        <v>29</v>
      </c>
      <c r="C55" s="6" t="s">
        <v>61</v>
      </c>
      <c r="D55" s="6" t="s">
        <v>63</v>
      </c>
      <c r="E55" s="6" t="s">
        <v>54</v>
      </c>
      <c r="F55" s="68"/>
      <c r="G55" s="68"/>
      <c r="H55" s="68"/>
      <c r="I55" s="68"/>
      <c r="J55" s="65"/>
      <c r="K55" s="65"/>
      <c r="L55" s="65"/>
      <c r="M55" s="65"/>
      <c r="N55" s="65"/>
      <c r="O55" s="73"/>
      <c r="P55" s="73"/>
      <c r="Q55" s="73"/>
      <c r="R55" s="73"/>
      <c r="S55" s="76"/>
      <c r="T55" s="76"/>
      <c r="U55" s="76"/>
      <c r="V55" s="76"/>
      <c r="W55" s="76"/>
      <c r="X55" s="79"/>
      <c r="Y55" s="79"/>
      <c r="Z55" s="79"/>
      <c r="AA55" s="79"/>
      <c r="AB55" s="63"/>
      <c r="AC55" s="63"/>
      <c r="AD55" s="63"/>
      <c r="AE55" s="63"/>
      <c r="AF55" s="66"/>
      <c r="AG55" s="66"/>
      <c r="AH55" s="66"/>
      <c r="AI55" s="66"/>
      <c r="AJ55" s="66"/>
      <c r="AK55" s="73"/>
      <c r="AL55" s="73"/>
      <c r="AM55" s="73"/>
      <c r="AN55" s="73"/>
      <c r="AO55" s="76"/>
      <c r="AP55" s="76"/>
      <c r="AQ55" s="76"/>
      <c r="AR55" s="76"/>
      <c r="AS55" s="79"/>
      <c r="AT55" s="79"/>
      <c r="AU55" s="79"/>
      <c r="AV55" s="79"/>
      <c r="AW55" s="79"/>
      <c r="AX55" s="3">
        <f>SUM(F55:AW55)</f>
        <v>0</v>
      </c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spans="1:61" ht="30" customHeight="1">
      <c r="A56" s="6">
        <v>51</v>
      </c>
      <c r="B56" s="7" t="s">
        <v>39</v>
      </c>
      <c r="C56" s="6" t="s">
        <v>61</v>
      </c>
      <c r="D56" s="6" t="s">
        <v>108</v>
      </c>
      <c r="E56" s="6" t="s">
        <v>104</v>
      </c>
      <c r="F56" s="68"/>
      <c r="G56" s="68"/>
      <c r="H56" s="68"/>
      <c r="I56" s="68"/>
      <c r="J56" s="65"/>
      <c r="K56" s="65"/>
      <c r="L56" s="65"/>
      <c r="M56" s="65"/>
      <c r="N56" s="65"/>
      <c r="O56" s="72"/>
      <c r="P56" s="72"/>
      <c r="Q56" s="72"/>
      <c r="R56" s="72"/>
      <c r="S56" s="75"/>
      <c r="T56" s="75"/>
      <c r="U56" s="75"/>
      <c r="V56" s="75"/>
      <c r="W56" s="75"/>
      <c r="X56" s="80"/>
      <c r="Y56" s="80"/>
      <c r="Z56" s="80"/>
      <c r="AA56" s="79"/>
      <c r="AB56" s="63"/>
      <c r="AC56" s="63"/>
      <c r="AD56" s="63"/>
      <c r="AE56" s="63"/>
      <c r="AF56" s="66"/>
      <c r="AG56" s="66"/>
      <c r="AH56" s="66"/>
      <c r="AI56" s="66"/>
      <c r="AJ56" s="66"/>
      <c r="AK56" s="73"/>
      <c r="AL56" s="73"/>
      <c r="AM56" s="73"/>
      <c r="AN56" s="73"/>
      <c r="AO56" s="76"/>
      <c r="AP56" s="76"/>
      <c r="AQ56" s="76"/>
      <c r="AR56" s="76"/>
      <c r="AS56" s="79"/>
      <c r="AT56" s="79"/>
      <c r="AU56" s="79"/>
      <c r="AV56" s="79"/>
      <c r="AW56" s="79"/>
      <c r="AX56" s="3">
        <f>SUM(F56:AW56)</f>
        <v>0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spans="1:61" ht="30" customHeight="1">
      <c r="A57" s="6">
        <v>52</v>
      </c>
      <c r="B57" s="7" t="s">
        <v>99</v>
      </c>
      <c r="C57" s="6" t="s">
        <v>61</v>
      </c>
      <c r="D57" s="6" t="s">
        <v>101</v>
      </c>
      <c r="E57" s="6" t="s">
        <v>23</v>
      </c>
      <c r="F57" s="68"/>
      <c r="G57" s="68"/>
      <c r="H57" s="68"/>
      <c r="I57" s="68"/>
      <c r="J57" s="65"/>
      <c r="K57" s="65"/>
      <c r="L57" s="65"/>
      <c r="M57" s="65"/>
      <c r="N57" s="65"/>
      <c r="O57" s="72"/>
      <c r="P57" s="72"/>
      <c r="Q57" s="72"/>
      <c r="R57" s="72"/>
      <c r="S57" s="75"/>
      <c r="T57" s="76"/>
      <c r="U57" s="76"/>
      <c r="V57" s="76"/>
      <c r="W57" s="76"/>
      <c r="X57" s="79"/>
      <c r="Y57" s="79"/>
      <c r="Z57" s="79"/>
      <c r="AA57" s="79"/>
      <c r="AB57" s="63"/>
      <c r="AC57" s="63"/>
      <c r="AD57" s="63"/>
      <c r="AE57" s="63"/>
      <c r="AF57" s="66"/>
      <c r="AG57" s="66"/>
      <c r="AH57" s="66"/>
      <c r="AI57" s="66"/>
      <c r="AJ57" s="66"/>
      <c r="AK57" s="73"/>
      <c r="AL57" s="73"/>
      <c r="AM57" s="73"/>
      <c r="AN57" s="73"/>
      <c r="AO57" s="76"/>
      <c r="AP57" s="76"/>
      <c r="AQ57" s="76"/>
      <c r="AR57" s="76"/>
      <c r="AS57" s="79"/>
      <c r="AT57" s="79"/>
      <c r="AU57" s="79"/>
      <c r="AV57" s="79"/>
      <c r="AW57" s="79"/>
      <c r="AX57" s="3">
        <f>SUM(F57:AW57)</f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spans="1:61" ht="30" customHeight="1">
      <c r="A58" s="6">
        <v>53</v>
      </c>
      <c r="B58" s="7" t="s">
        <v>82</v>
      </c>
      <c r="C58" s="6" t="s">
        <v>61</v>
      </c>
      <c r="D58" s="6" t="s">
        <v>86</v>
      </c>
      <c r="E58" s="6" t="s">
        <v>83</v>
      </c>
      <c r="F58" s="68"/>
      <c r="G58" s="68"/>
      <c r="H58" s="68"/>
      <c r="I58" s="68"/>
      <c r="J58" s="65"/>
      <c r="K58" s="65"/>
      <c r="L58" s="65"/>
      <c r="M58" s="65"/>
      <c r="N58" s="65"/>
      <c r="O58" s="72"/>
      <c r="P58" s="72"/>
      <c r="Q58" s="72"/>
      <c r="R58" s="72"/>
      <c r="S58" s="75"/>
      <c r="T58" s="75"/>
      <c r="U58" s="75"/>
      <c r="V58" s="75"/>
      <c r="W58" s="75"/>
      <c r="X58" s="79"/>
      <c r="Y58" s="79"/>
      <c r="Z58" s="79"/>
      <c r="AA58" s="79"/>
      <c r="AB58" s="63"/>
      <c r="AC58" s="63"/>
      <c r="AD58" s="63"/>
      <c r="AE58" s="63"/>
      <c r="AF58" s="66"/>
      <c r="AG58" s="66"/>
      <c r="AH58" s="66"/>
      <c r="AI58" s="66"/>
      <c r="AJ58" s="66"/>
      <c r="AK58" s="73"/>
      <c r="AL58" s="73"/>
      <c r="AM58" s="73"/>
      <c r="AN58" s="73"/>
      <c r="AO58" s="76"/>
      <c r="AP58" s="76"/>
      <c r="AQ58" s="76"/>
      <c r="AR58" s="76"/>
      <c r="AS58" s="79"/>
      <c r="AT58" s="79"/>
      <c r="AU58" s="79"/>
      <c r="AV58" s="79"/>
      <c r="AW58" s="79"/>
      <c r="AX58" s="3">
        <f>SUM(F58:AW58)</f>
        <v>0</v>
      </c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 ht="30" customHeight="1">
      <c r="A59" s="6">
        <v>54</v>
      </c>
      <c r="B59" s="7" t="s">
        <v>92</v>
      </c>
      <c r="C59" s="6" t="s">
        <v>59</v>
      </c>
      <c r="D59" s="6" t="s">
        <v>94</v>
      </c>
      <c r="E59" s="6" t="s">
        <v>21</v>
      </c>
      <c r="F59" s="68"/>
      <c r="G59" s="68"/>
      <c r="H59" s="68"/>
      <c r="I59" s="68"/>
      <c r="J59" s="65"/>
      <c r="K59" s="65"/>
      <c r="L59" s="65"/>
      <c r="M59" s="65"/>
      <c r="N59" s="65"/>
      <c r="O59" s="72"/>
      <c r="P59" s="72"/>
      <c r="Q59" s="72"/>
      <c r="R59" s="72"/>
      <c r="S59" s="76"/>
      <c r="T59" s="76"/>
      <c r="U59" s="76"/>
      <c r="V59" s="76"/>
      <c r="W59" s="76"/>
      <c r="X59" s="79"/>
      <c r="Y59" s="79"/>
      <c r="Z59" s="79"/>
      <c r="AA59" s="79"/>
      <c r="AB59" s="63"/>
      <c r="AC59" s="63"/>
      <c r="AD59" s="63"/>
      <c r="AE59" s="63"/>
      <c r="AF59" s="66"/>
      <c r="AG59" s="66"/>
      <c r="AH59" s="66"/>
      <c r="AI59" s="66"/>
      <c r="AJ59" s="66"/>
      <c r="AK59" s="73"/>
      <c r="AL59" s="73"/>
      <c r="AM59" s="73"/>
      <c r="AN59" s="73"/>
      <c r="AO59" s="76"/>
      <c r="AP59" s="76"/>
      <c r="AQ59" s="76"/>
      <c r="AR59" s="76"/>
      <c r="AS59" s="79"/>
      <c r="AT59" s="79"/>
      <c r="AU59" s="79"/>
      <c r="AV59" s="79"/>
      <c r="AW59" s="79"/>
      <c r="AX59" s="3">
        <f>SUM(F59:AW59)</f>
        <v>0</v>
      </c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spans="1:61" ht="30" customHeight="1">
      <c r="A60" s="6">
        <v>55</v>
      </c>
      <c r="B60" s="7" t="s">
        <v>105</v>
      </c>
      <c r="C60" s="6" t="s">
        <v>59</v>
      </c>
      <c r="D60" s="6" t="s">
        <v>108</v>
      </c>
      <c r="E60" s="6" t="s">
        <v>104</v>
      </c>
      <c r="F60" s="68"/>
      <c r="G60" s="68"/>
      <c r="H60" s="68"/>
      <c r="I60" s="68"/>
      <c r="J60" s="65"/>
      <c r="K60" s="65"/>
      <c r="L60" s="65"/>
      <c r="M60" s="65"/>
      <c r="N60" s="65"/>
      <c r="O60" s="72"/>
      <c r="P60" s="72"/>
      <c r="Q60" s="72"/>
      <c r="R60" s="72"/>
      <c r="S60" s="75"/>
      <c r="T60" s="75"/>
      <c r="U60" s="75"/>
      <c r="V60" s="75"/>
      <c r="W60" s="75"/>
      <c r="X60" s="80"/>
      <c r="Y60" s="80"/>
      <c r="Z60" s="80"/>
      <c r="AA60" s="80"/>
      <c r="AB60" s="62"/>
      <c r="AC60" s="62"/>
      <c r="AD60" s="62"/>
      <c r="AE60" s="62"/>
      <c r="AF60" s="65"/>
      <c r="AG60" s="65"/>
      <c r="AH60" s="65"/>
      <c r="AI60" s="65"/>
      <c r="AJ60" s="65"/>
      <c r="AK60" s="72"/>
      <c r="AL60" s="72"/>
      <c r="AM60" s="72"/>
      <c r="AN60" s="72"/>
      <c r="AO60" s="75"/>
      <c r="AP60" s="75"/>
      <c r="AQ60" s="75"/>
      <c r="AR60" s="75"/>
      <c r="AS60" s="80"/>
      <c r="AT60" s="80"/>
      <c r="AU60" s="79"/>
      <c r="AV60" s="79"/>
      <c r="AW60" s="79"/>
      <c r="AX60" s="3">
        <f>SUM(F60:AW60)</f>
        <v>0</v>
      </c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spans="1:61" ht="30" customHeight="1">
      <c r="A61" s="6">
        <v>56</v>
      </c>
      <c r="B61" s="7" t="s">
        <v>77</v>
      </c>
      <c r="C61" s="6" t="s">
        <v>61</v>
      </c>
      <c r="D61" s="6" t="s">
        <v>80</v>
      </c>
      <c r="E61" s="6" t="s">
        <v>77</v>
      </c>
      <c r="F61" s="68"/>
      <c r="G61" s="68"/>
      <c r="H61" s="68"/>
      <c r="I61" s="68"/>
      <c r="J61" s="65"/>
      <c r="K61" s="65"/>
      <c r="L61" s="65"/>
      <c r="M61" s="65"/>
      <c r="N61" s="65"/>
      <c r="O61" s="73"/>
      <c r="P61" s="73"/>
      <c r="Q61" s="73"/>
      <c r="R61" s="73"/>
      <c r="S61" s="76"/>
      <c r="T61" s="76"/>
      <c r="U61" s="76"/>
      <c r="V61" s="76"/>
      <c r="W61" s="76"/>
      <c r="X61" s="79"/>
      <c r="Y61" s="79"/>
      <c r="Z61" s="79"/>
      <c r="AA61" s="79"/>
      <c r="AB61" s="63"/>
      <c r="AC61" s="63"/>
      <c r="AD61" s="63"/>
      <c r="AE61" s="63"/>
      <c r="AF61" s="66"/>
      <c r="AG61" s="66"/>
      <c r="AH61" s="66"/>
      <c r="AI61" s="66"/>
      <c r="AJ61" s="66"/>
      <c r="AK61" s="73"/>
      <c r="AL61" s="73"/>
      <c r="AM61" s="73"/>
      <c r="AN61" s="73"/>
      <c r="AO61" s="76"/>
      <c r="AP61" s="76"/>
      <c r="AQ61" s="76"/>
      <c r="AR61" s="76"/>
      <c r="AS61" s="79"/>
      <c r="AT61" s="79"/>
      <c r="AU61" s="79"/>
      <c r="AV61" s="79"/>
      <c r="AW61" s="79"/>
      <c r="AX61" s="3">
        <f>SUM(F61:AW61)</f>
        <v>0</v>
      </c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</row>
    <row r="62" spans="1:61" ht="30" customHeight="1">
      <c r="A62" s="6">
        <v>57</v>
      </c>
      <c r="B62" s="7" t="s">
        <v>58</v>
      </c>
      <c r="C62" s="6" t="s">
        <v>59</v>
      </c>
      <c r="D62" s="6" t="s">
        <v>63</v>
      </c>
      <c r="E62" s="6" t="s">
        <v>54</v>
      </c>
      <c r="F62" s="68"/>
      <c r="G62" s="68"/>
      <c r="H62" s="68"/>
      <c r="I62" s="68"/>
      <c r="J62" s="65"/>
      <c r="K62" s="65"/>
      <c r="L62" s="65"/>
      <c r="M62" s="65"/>
      <c r="N62" s="65"/>
      <c r="O62" s="73"/>
      <c r="P62" s="73"/>
      <c r="Q62" s="73"/>
      <c r="R62" s="73"/>
      <c r="S62" s="76"/>
      <c r="T62" s="76"/>
      <c r="U62" s="76"/>
      <c r="V62" s="76"/>
      <c r="W62" s="76"/>
      <c r="X62" s="79"/>
      <c r="Y62" s="79"/>
      <c r="Z62" s="79"/>
      <c r="AA62" s="79"/>
      <c r="AB62" s="63"/>
      <c r="AC62" s="63"/>
      <c r="AD62" s="63"/>
      <c r="AE62" s="63"/>
      <c r="AF62" s="66"/>
      <c r="AG62" s="66"/>
      <c r="AH62" s="66"/>
      <c r="AI62" s="66"/>
      <c r="AJ62" s="66"/>
      <c r="AK62" s="73"/>
      <c r="AL62" s="73"/>
      <c r="AM62" s="73"/>
      <c r="AN62" s="73"/>
      <c r="AO62" s="76"/>
      <c r="AP62" s="76"/>
      <c r="AQ62" s="76"/>
      <c r="AR62" s="76"/>
      <c r="AS62" s="79"/>
      <c r="AT62" s="79"/>
      <c r="AU62" s="79"/>
      <c r="AV62" s="79"/>
      <c r="AW62" s="79"/>
      <c r="AX62" s="3">
        <f>SUM(F62:AW62)</f>
        <v>0</v>
      </c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</row>
    <row r="63" spans="1:61" ht="30" customHeight="1">
      <c r="A63" s="6">
        <v>58</v>
      </c>
      <c r="B63" s="7" t="s">
        <v>83</v>
      </c>
      <c r="C63" s="6" t="s">
        <v>59</v>
      </c>
      <c r="D63" s="6" t="s">
        <v>86</v>
      </c>
      <c r="E63" s="6" t="s">
        <v>83</v>
      </c>
      <c r="F63" s="68"/>
      <c r="G63" s="68"/>
      <c r="H63" s="68"/>
      <c r="I63" s="68"/>
      <c r="J63" s="65"/>
      <c r="K63" s="65"/>
      <c r="L63" s="65"/>
      <c r="M63" s="65"/>
      <c r="N63" s="65"/>
      <c r="O63" s="72"/>
      <c r="P63" s="72"/>
      <c r="Q63" s="72"/>
      <c r="R63" s="72"/>
      <c r="S63" s="75"/>
      <c r="T63" s="75"/>
      <c r="U63" s="76"/>
      <c r="V63" s="76"/>
      <c r="W63" s="76"/>
      <c r="X63" s="79"/>
      <c r="Y63" s="79"/>
      <c r="Z63" s="79"/>
      <c r="AA63" s="79"/>
      <c r="AB63" s="63"/>
      <c r="AC63" s="63"/>
      <c r="AD63" s="63"/>
      <c r="AE63" s="63"/>
      <c r="AF63" s="66"/>
      <c r="AG63" s="66"/>
      <c r="AH63" s="66"/>
      <c r="AI63" s="66"/>
      <c r="AJ63" s="66"/>
      <c r="AK63" s="73"/>
      <c r="AL63" s="73"/>
      <c r="AM63" s="73"/>
      <c r="AN63" s="73"/>
      <c r="AO63" s="76"/>
      <c r="AP63" s="76"/>
      <c r="AQ63" s="76"/>
      <c r="AR63" s="76"/>
      <c r="AS63" s="79"/>
      <c r="AT63" s="79"/>
      <c r="AU63" s="79"/>
      <c r="AV63" s="79"/>
      <c r="AW63" s="79"/>
      <c r="AX63" s="3">
        <f>SUM(F63:AW63)</f>
        <v>0</v>
      </c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</row>
    <row r="64" spans="1:61" ht="30" customHeight="1">
      <c r="A64" s="6">
        <v>59</v>
      </c>
      <c r="B64" s="7" t="s">
        <v>15</v>
      </c>
      <c r="C64" s="6" t="s">
        <v>59</v>
      </c>
      <c r="D64" s="6" t="s">
        <v>86</v>
      </c>
      <c r="E64" s="6" t="s">
        <v>83</v>
      </c>
      <c r="F64" s="68"/>
      <c r="G64" s="68"/>
      <c r="H64" s="68"/>
      <c r="I64" s="68"/>
      <c r="J64" s="65"/>
      <c r="K64" s="65"/>
      <c r="L64" s="65"/>
      <c r="M64" s="65"/>
      <c r="N64" s="65"/>
      <c r="O64" s="72"/>
      <c r="P64" s="72"/>
      <c r="Q64" s="72"/>
      <c r="R64" s="72"/>
      <c r="S64" s="75"/>
      <c r="T64" s="75"/>
      <c r="U64" s="75"/>
      <c r="V64" s="75"/>
      <c r="W64" s="75"/>
      <c r="X64" s="80"/>
      <c r="Y64" s="80"/>
      <c r="Z64" s="80"/>
      <c r="AA64" s="80"/>
      <c r="AB64" s="62"/>
      <c r="AC64" s="62"/>
      <c r="AD64" s="62"/>
      <c r="AE64" s="62"/>
      <c r="AF64" s="65"/>
      <c r="AG64" s="65"/>
      <c r="AH64" s="65"/>
      <c r="AI64" s="65"/>
      <c r="AJ64" s="65"/>
      <c r="AK64" s="72"/>
      <c r="AL64" s="72"/>
      <c r="AM64" s="72"/>
      <c r="AN64" s="72"/>
      <c r="AO64" s="75"/>
      <c r="AP64" s="75"/>
      <c r="AQ64" s="75"/>
      <c r="AR64" s="75"/>
      <c r="AS64" s="80"/>
      <c r="AT64" s="80"/>
      <c r="AU64" s="80"/>
      <c r="AV64" s="80"/>
      <c r="AW64" s="80"/>
      <c r="AX64" s="3">
        <f>SUM(F64:AW64)</f>
        <v>0</v>
      </c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</row>
    <row r="65" spans="1:61" ht="30" customHeight="1">
      <c r="A65" s="6">
        <v>60</v>
      </c>
      <c r="B65" s="7" t="s">
        <v>16</v>
      </c>
      <c r="C65" s="6" t="s">
        <v>59</v>
      </c>
      <c r="D65" s="6" t="s">
        <v>86</v>
      </c>
      <c r="E65" s="6" t="s">
        <v>83</v>
      </c>
      <c r="F65" s="68"/>
      <c r="G65" s="68"/>
      <c r="H65" s="68"/>
      <c r="I65" s="68"/>
      <c r="J65" s="65"/>
      <c r="K65" s="65"/>
      <c r="L65" s="65"/>
      <c r="M65" s="65"/>
      <c r="N65" s="65"/>
      <c r="O65" s="73"/>
      <c r="P65" s="73"/>
      <c r="Q65" s="73"/>
      <c r="R65" s="73"/>
      <c r="S65" s="76"/>
      <c r="T65" s="76"/>
      <c r="U65" s="76"/>
      <c r="V65" s="76"/>
      <c r="W65" s="76"/>
      <c r="X65" s="79"/>
      <c r="Y65" s="79"/>
      <c r="Z65" s="79"/>
      <c r="AA65" s="79"/>
      <c r="AB65" s="63"/>
      <c r="AC65" s="63"/>
      <c r="AD65" s="63"/>
      <c r="AE65" s="63"/>
      <c r="AF65" s="66"/>
      <c r="AG65" s="66"/>
      <c r="AH65" s="66"/>
      <c r="AI65" s="66"/>
      <c r="AJ65" s="66"/>
      <c r="AK65" s="73"/>
      <c r="AL65" s="73"/>
      <c r="AM65" s="73"/>
      <c r="AN65" s="73"/>
      <c r="AO65" s="76"/>
      <c r="AP65" s="76"/>
      <c r="AQ65" s="76"/>
      <c r="AR65" s="76"/>
      <c r="AS65" s="79"/>
      <c r="AT65" s="79"/>
      <c r="AU65" s="79"/>
      <c r="AV65" s="79"/>
      <c r="AW65" s="79"/>
      <c r="AX65" s="3">
        <f>SUM(F65:AW65)</f>
        <v>0</v>
      </c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</row>
    <row r="66" spans="1:61" ht="30" customHeight="1">
      <c r="A66" s="6">
        <v>61</v>
      </c>
      <c r="B66" s="7" t="s">
        <v>93</v>
      </c>
      <c r="C66" s="6" t="s">
        <v>59</v>
      </c>
      <c r="D66" s="6" t="s">
        <v>94</v>
      </c>
      <c r="E66" s="6" t="s">
        <v>21</v>
      </c>
      <c r="F66" s="68"/>
      <c r="G66" s="68"/>
      <c r="H66" s="68"/>
      <c r="I66" s="68"/>
      <c r="J66" s="65"/>
      <c r="K66" s="65"/>
      <c r="L66" s="65"/>
      <c r="M66" s="65"/>
      <c r="N66" s="65"/>
      <c r="O66" s="73"/>
      <c r="P66" s="73"/>
      <c r="Q66" s="73"/>
      <c r="R66" s="73"/>
      <c r="S66" s="76"/>
      <c r="T66" s="76"/>
      <c r="U66" s="76"/>
      <c r="V66" s="76"/>
      <c r="W66" s="76"/>
      <c r="X66" s="79"/>
      <c r="Y66" s="79"/>
      <c r="Z66" s="79"/>
      <c r="AA66" s="79"/>
      <c r="AB66" s="63"/>
      <c r="AC66" s="63"/>
      <c r="AD66" s="63"/>
      <c r="AE66" s="63"/>
      <c r="AF66" s="66"/>
      <c r="AG66" s="66"/>
      <c r="AH66" s="66"/>
      <c r="AI66" s="66"/>
      <c r="AJ66" s="66"/>
      <c r="AK66" s="73"/>
      <c r="AL66" s="73"/>
      <c r="AM66" s="73"/>
      <c r="AN66" s="73"/>
      <c r="AO66" s="76"/>
      <c r="AP66" s="76"/>
      <c r="AQ66" s="76"/>
      <c r="AR66" s="76"/>
      <c r="AS66" s="79"/>
      <c r="AT66" s="79"/>
      <c r="AU66" s="79"/>
      <c r="AV66" s="79"/>
      <c r="AW66" s="79"/>
      <c r="AX66" s="3">
        <f>SUM(F66:AW66)</f>
        <v>0</v>
      </c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</row>
    <row r="67" spans="1:61" ht="30" customHeight="1">
      <c r="A67" s="6">
        <v>62</v>
      </c>
      <c r="B67" s="7" t="s">
        <v>78</v>
      </c>
      <c r="C67" s="6" t="s">
        <v>59</v>
      </c>
      <c r="D67" s="6" t="s">
        <v>80</v>
      </c>
      <c r="E67" s="6" t="s">
        <v>77</v>
      </c>
      <c r="F67" s="68"/>
      <c r="G67" s="68"/>
      <c r="H67" s="68"/>
      <c r="I67" s="68"/>
      <c r="J67" s="65"/>
      <c r="K67" s="65"/>
      <c r="L67" s="65"/>
      <c r="M67" s="65"/>
      <c r="N67" s="65"/>
      <c r="O67" s="73"/>
      <c r="P67" s="73"/>
      <c r="Q67" s="73"/>
      <c r="R67" s="73"/>
      <c r="S67" s="76"/>
      <c r="T67" s="76"/>
      <c r="U67" s="76"/>
      <c r="V67" s="76"/>
      <c r="W67" s="76"/>
      <c r="X67" s="79"/>
      <c r="Y67" s="79"/>
      <c r="Z67" s="79"/>
      <c r="AA67" s="79"/>
      <c r="AB67" s="63"/>
      <c r="AC67" s="63"/>
      <c r="AD67" s="63"/>
      <c r="AE67" s="63"/>
      <c r="AF67" s="66"/>
      <c r="AG67" s="66"/>
      <c r="AH67" s="66"/>
      <c r="AI67" s="66"/>
      <c r="AJ67" s="66"/>
      <c r="AK67" s="73"/>
      <c r="AL67" s="73"/>
      <c r="AM67" s="73"/>
      <c r="AN67" s="73"/>
      <c r="AO67" s="76"/>
      <c r="AP67" s="76"/>
      <c r="AQ67" s="76"/>
      <c r="AR67" s="76"/>
      <c r="AS67" s="79"/>
      <c r="AT67" s="79"/>
      <c r="AU67" s="79"/>
      <c r="AV67" s="79"/>
      <c r="AW67" s="79"/>
      <c r="AX67" s="3">
        <f>SUM(F67:AW67)</f>
        <v>0</v>
      </c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</row>
    <row r="68" spans="1:61" ht="30" customHeight="1">
      <c r="A68" s="6">
        <v>63</v>
      </c>
      <c r="B68" s="7" t="s">
        <v>84</v>
      </c>
      <c r="C68" s="6" t="s">
        <v>59</v>
      </c>
      <c r="D68" s="6" t="s">
        <v>86</v>
      </c>
      <c r="E68" s="6" t="s">
        <v>83</v>
      </c>
      <c r="F68" s="68"/>
      <c r="G68" s="68"/>
      <c r="H68" s="68"/>
      <c r="I68" s="68"/>
      <c r="J68" s="65"/>
      <c r="K68" s="65"/>
      <c r="L68" s="65"/>
      <c r="M68" s="65"/>
      <c r="N68" s="65"/>
      <c r="O68" s="72"/>
      <c r="P68" s="72"/>
      <c r="Q68" s="72"/>
      <c r="R68" s="72"/>
      <c r="S68" s="75"/>
      <c r="T68" s="75"/>
      <c r="U68" s="75"/>
      <c r="V68" s="75"/>
      <c r="W68" s="75"/>
      <c r="X68" s="80"/>
      <c r="Y68" s="80"/>
      <c r="Z68" s="80"/>
      <c r="AA68" s="80"/>
      <c r="AB68" s="62"/>
      <c r="AC68" s="62"/>
      <c r="AD68" s="62"/>
      <c r="AE68" s="62"/>
      <c r="AF68" s="65"/>
      <c r="AG68" s="65"/>
      <c r="AH68" s="65"/>
      <c r="AI68" s="65"/>
      <c r="AJ68" s="65"/>
      <c r="AK68" s="72"/>
      <c r="AL68" s="72"/>
      <c r="AM68" s="72"/>
      <c r="AN68" s="72"/>
      <c r="AO68" s="75"/>
      <c r="AP68" s="75"/>
      <c r="AQ68" s="75"/>
      <c r="AR68" s="75"/>
      <c r="AS68" s="80"/>
      <c r="AT68" s="80"/>
      <c r="AU68" s="80"/>
      <c r="AV68" s="80"/>
      <c r="AW68" s="80"/>
      <c r="AX68" s="3">
        <f>SUM(F68:AW68)</f>
        <v>0</v>
      </c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</row>
    <row r="69" spans="1:61" ht="30" customHeight="1">
      <c r="A69" s="6">
        <v>64</v>
      </c>
      <c r="B69" s="7" t="s">
        <v>38</v>
      </c>
      <c r="C69" s="6" t="s">
        <v>62</v>
      </c>
      <c r="D69" s="6" t="s">
        <v>32</v>
      </c>
      <c r="E69" s="6" t="s">
        <v>114</v>
      </c>
      <c r="F69" s="68"/>
      <c r="G69" s="68"/>
      <c r="H69" s="68"/>
      <c r="I69" s="68"/>
      <c r="J69" s="65"/>
      <c r="K69" s="65"/>
      <c r="L69" s="65"/>
      <c r="M69" s="65"/>
      <c r="N69" s="65"/>
      <c r="O69" s="72"/>
      <c r="P69" s="72"/>
      <c r="Q69" s="72"/>
      <c r="R69" s="72"/>
      <c r="S69" s="75"/>
      <c r="T69" s="75"/>
      <c r="U69" s="75"/>
      <c r="V69" s="75"/>
      <c r="W69" s="75"/>
      <c r="X69" s="79"/>
      <c r="Y69" s="79"/>
      <c r="Z69" s="79"/>
      <c r="AA69" s="79"/>
      <c r="AB69" s="63"/>
      <c r="AC69" s="63"/>
      <c r="AD69" s="63"/>
      <c r="AE69" s="63"/>
      <c r="AF69" s="66"/>
      <c r="AG69" s="66"/>
      <c r="AH69" s="66"/>
      <c r="AI69" s="66"/>
      <c r="AJ69" s="66"/>
      <c r="AK69" s="73"/>
      <c r="AL69" s="73"/>
      <c r="AM69" s="73"/>
      <c r="AN69" s="73"/>
      <c r="AO69" s="76"/>
      <c r="AP69" s="76"/>
      <c r="AQ69" s="76"/>
      <c r="AR69" s="76"/>
      <c r="AS69" s="79"/>
      <c r="AT69" s="79"/>
      <c r="AU69" s="79"/>
      <c r="AV69" s="79"/>
      <c r="AW69" s="79"/>
      <c r="AX69" s="3">
        <f>SUM(F69:AW69)</f>
        <v>0</v>
      </c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</row>
    <row r="70" spans="1:61" ht="30" customHeight="1">
      <c r="A70" s="6">
        <v>65</v>
      </c>
      <c r="B70" s="7" t="s">
        <v>100</v>
      </c>
      <c r="C70" s="6" t="s">
        <v>60</v>
      </c>
      <c r="D70" s="6" t="s">
        <v>101</v>
      </c>
      <c r="E70" s="6" t="s">
        <v>23</v>
      </c>
      <c r="F70" s="68"/>
      <c r="G70" s="68"/>
      <c r="H70" s="68"/>
      <c r="I70" s="68"/>
      <c r="J70" s="65"/>
      <c r="K70" s="65"/>
      <c r="L70" s="65"/>
      <c r="M70" s="65"/>
      <c r="N70" s="65"/>
      <c r="O70" s="73"/>
      <c r="P70" s="73"/>
      <c r="Q70" s="73"/>
      <c r="R70" s="73"/>
      <c r="S70" s="76"/>
      <c r="T70" s="76"/>
      <c r="U70" s="76"/>
      <c r="V70" s="76"/>
      <c r="W70" s="76"/>
      <c r="X70" s="79"/>
      <c r="Y70" s="79"/>
      <c r="Z70" s="79"/>
      <c r="AA70" s="79"/>
      <c r="AB70" s="63"/>
      <c r="AC70" s="63"/>
      <c r="AD70" s="63"/>
      <c r="AE70" s="63"/>
      <c r="AF70" s="66"/>
      <c r="AG70" s="66"/>
      <c r="AH70" s="66"/>
      <c r="AI70" s="66"/>
      <c r="AJ70" s="66"/>
      <c r="AK70" s="73"/>
      <c r="AL70" s="73"/>
      <c r="AM70" s="73"/>
      <c r="AN70" s="73"/>
      <c r="AO70" s="76"/>
      <c r="AP70" s="76"/>
      <c r="AQ70" s="76"/>
      <c r="AR70" s="76"/>
      <c r="AS70" s="79"/>
      <c r="AT70" s="79"/>
      <c r="AU70" s="79"/>
      <c r="AV70" s="79"/>
      <c r="AW70" s="79"/>
      <c r="AX70" s="3">
        <f>SUM(F70:AW70)</f>
        <v>0</v>
      </c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</row>
    <row r="71" spans="1:61" ht="30" customHeight="1">
      <c r="A71" s="6">
        <v>66</v>
      </c>
      <c r="B71" s="7" t="s">
        <v>85</v>
      </c>
      <c r="C71" s="6" t="s">
        <v>59</v>
      </c>
      <c r="D71" s="6" t="s">
        <v>86</v>
      </c>
      <c r="E71" s="6" t="s">
        <v>83</v>
      </c>
      <c r="F71" s="68"/>
      <c r="G71" s="68"/>
      <c r="H71" s="68"/>
      <c r="I71" s="68"/>
      <c r="J71" s="65"/>
      <c r="K71" s="65"/>
      <c r="L71" s="65"/>
      <c r="M71" s="65"/>
      <c r="N71" s="65"/>
      <c r="O71" s="73"/>
      <c r="P71" s="73"/>
      <c r="Q71" s="73"/>
      <c r="R71" s="73"/>
      <c r="S71" s="76"/>
      <c r="T71" s="76"/>
      <c r="U71" s="76"/>
      <c r="V71" s="76"/>
      <c r="W71" s="76"/>
      <c r="X71" s="79"/>
      <c r="Y71" s="79"/>
      <c r="Z71" s="79"/>
      <c r="AA71" s="79"/>
      <c r="AB71" s="63"/>
      <c r="AC71" s="63"/>
      <c r="AD71" s="63"/>
      <c r="AE71" s="63"/>
      <c r="AF71" s="66"/>
      <c r="AG71" s="66"/>
      <c r="AH71" s="66"/>
      <c r="AI71" s="66"/>
      <c r="AJ71" s="66"/>
      <c r="AK71" s="73"/>
      <c r="AL71" s="73"/>
      <c r="AM71" s="73"/>
      <c r="AN71" s="73"/>
      <c r="AO71" s="76"/>
      <c r="AP71" s="76"/>
      <c r="AQ71" s="76"/>
      <c r="AR71" s="76"/>
      <c r="AS71" s="79"/>
      <c r="AT71" s="79"/>
      <c r="AU71" s="79"/>
      <c r="AV71" s="79"/>
      <c r="AW71" s="79"/>
      <c r="AX71" s="3">
        <f>SUM(F71:AW71)</f>
        <v>0</v>
      </c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</row>
    <row r="72" spans="1:61" ht="30" customHeight="1">
      <c r="A72" s="6">
        <v>67</v>
      </c>
      <c r="B72" s="7" t="s">
        <v>71</v>
      </c>
      <c r="C72" s="6" t="s">
        <v>61</v>
      </c>
      <c r="D72" s="6" t="s">
        <v>73</v>
      </c>
      <c r="E72" s="6" t="s">
        <v>66</v>
      </c>
      <c r="F72" s="68"/>
      <c r="G72" s="68"/>
      <c r="H72" s="68"/>
      <c r="I72" s="68"/>
      <c r="J72" s="65"/>
      <c r="K72" s="65"/>
      <c r="L72" s="65"/>
      <c r="M72" s="65"/>
      <c r="N72" s="65"/>
      <c r="O72" s="73"/>
      <c r="P72" s="73"/>
      <c r="Q72" s="73"/>
      <c r="R72" s="73"/>
      <c r="S72" s="76"/>
      <c r="T72" s="76"/>
      <c r="U72" s="76"/>
      <c r="V72" s="76"/>
      <c r="W72" s="76"/>
      <c r="X72" s="79"/>
      <c r="Y72" s="79"/>
      <c r="Z72" s="79"/>
      <c r="AA72" s="79"/>
      <c r="AB72" s="63"/>
      <c r="AC72" s="63"/>
      <c r="AD72" s="63"/>
      <c r="AE72" s="63"/>
      <c r="AF72" s="66"/>
      <c r="AG72" s="66"/>
      <c r="AH72" s="66"/>
      <c r="AI72" s="66"/>
      <c r="AJ72" s="66"/>
      <c r="AK72" s="73"/>
      <c r="AL72" s="73"/>
      <c r="AM72" s="73"/>
      <c r="AN72" s="73"/>
      <c r="AO72" s="76"/>
      <c r="AP72" s="76"/>
      <c r="AQ72" s="76"/>
      <c r="AR72" s="76"/>
      <c r="AS72" s="79"/>
      <c r="AT72" s="79"/>
      <c r="AU72" s="79"/>
      <c r="AV72" s="79"/>
      <c r="AW72" s="79"/>
      <c r="AX72" s="3">
        <f>SUM(F72:AW72)</f>
        <v>0</v>
      </c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</row>
    <row r="73" spans="1:61" ht="30" customHeight="1">
      <c r="A73" s="6">
        <v>68</v>
      </c>
      <c r="B73" s="7" t="s">
        <v>112</v>
      </c>
      <c r="C73" s="6" t="s">
        <v>60</v>
      </c>
      <c r="D73" s="6" t="s">
        <v>113</v>
      </c>
      <c r="E73" s="6" t="s">
        <v>26</v>
      </c>
      <c r="F73" s="68"/>
      <c r="G73" s="68"/>
      <c r="H73" s="68"/>
      <c r="I73" s="68"/>
      <c r="J73" s="65"/>
      <c r="K73" s="65"/>
      <c r="L73" s="65"/>
      <c r="M73" s="65"/>
      <c r="N73" s="65"/>
      <c r="O73" s="72"/>
      <c r="P73" s="72"/>
      <c r="Q73" s="72"/>
      <c r="R73" s="72"/>
      <c r="S73" s="75"/>
      <c r="T73" s="75"/>
      <c r="U73" s="75"/>
      <c r="V73" s="75"/>
      <c r="W73" s="75"/>
      <c r="X73" s="80"/>
      <c r="Y73" s="80"/>
      <c r="Z73" s="80"/>
      <c r="AA73" s="80"/>
      <c r="AB73" s="62"/>
      <c r="AC73" s="62"/>
      <c r="AD73" s="62"/>
      <c r="AE73" s="62"/>
      <c r="AF73" s="65"/>
      <c r="AG73" s="65"/>
      <c r="AH73" s="65"/>
      <c r="AI73" s="65"/>
      <c r="AJ73" s="65"/>
      <c r="AK73" s="72"/>
      <c r="AL73" s="73"/>
      <c r="AM73" s="73"/>
      <c r="AN73" s="73"/>
      <c r="AO73" s="76"/>
      <c r="AP73" s="76"/>
      <c r="AQ73" s="76"/>
      <c r="AR73" s="76"/>
      <c r="AS73" s="79"/>
      <c r="AT73" s="79"/>
      <c r="AU73" s="79"/>
      <c r="AV73" s="79"/>
      <c r="AW73" s="79"/>
      <c r="AX73" s="3">
        <f>SUM(F73:AW73)</f>
        <v>0</v>
      </c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</row>
    <row r="74" spans="1:61" ht="30" customHeight="1">
      <c r="A74" s="6">
        <v>69</v>
      </c>
      <c r="B74" s="7" t="s">
        <v>106</v>
      </c>
      <c r="C74" s="6" t="s">
        <v>34</v>
      </c>
      <c r="D74" s="6" t="s">
        <v>108</v>
      </c>
      <c r="E74" s="6" t="s">
        <v>104</v>
      </c>
      <c r="F74" s="68"/>
      <c r="G74" s="68"/>
      <c r="H74" s="68"/>
      <c r="I74" s="68"/>
      <c r="J74" s="65"/>
      <c r="K74" s="65"/>
      <c r="L74" s="65"/>
      <c r="M74" s="65"/>
      <c r="N74" s="65"/>
      <c r="O74" s="72"/>
      <c r="P74" s="72"/>
      <c r="Q74" s="72"/>
      <c r="R74" s="72"/>
      <c r="S74" s="75"/>
      <c r="T74" s="75"/>
      <c r="U74" s="75"/>
      <c r="V74" s="75"/>
      <c r="W74" s="75"/>
      <c r="X74" s="80"/>
      <c r="Y74" s="80"/>
      <c r="Z74" s="80"/>
      <c r="AA74" s="80"/>
      <c r="AB74" s="62"/>
      <c r="AC74" s="62"/>
      <c r="AD74" s="62"/>
      <c r="AE74" s="62"/>
      <c r="AF74" s="65"/>
      <c r="AG74" s="65"/>
      <c r="AH74" s="65"/>
      <c r="AI74" s="65"/>
      <c r="AJ74" s="65"/>
      <c r="AK74" s="72"/>
      <c r="AL74" s="72"/>
      <c r="AM74" s="72"/>
      <c r="AN74" s="72"/>
      <c r="AO74" s="75"/>
      <c r="AP74" s="75"/>
      <c r="AQ74" s="75"/>
      <c r="AR74" s="75"/>
      <c r="AS74" s="80"/>
      <c r="AT74" s="80"/>
      <c r="AU74" s="80"/>
      <c r="AV74" s="80"/>
      <c r="AW74" s="80"/>
      <c r="AX74" s="3">
        <f>SUM(F74:AW74)</f>
        <v>0</v>
      </c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</row>
    <row r="75" spans="1:61" ht="30" customHeight="1">
      <c r="A75" s="6">
        <v>70</v>
      </c>
      <c r="B75" s="7" t="s">
        <v>79</v>
      </c>
      <c r="C75" s="6" t="s">
        <v>59</v>
      </c>
      <c r="D75" s="6" t="s">
        <v>80</v>
      </c>
      <c r="E75" s="6" t="s">
        <v>77</v>
      </c>
      <c r="F75" s="69"/>
      <c r="G75" s="69"/>
      <c r="H75" s="69"/>
      <c r="I75" s="69"/>
      <c r="J75" s="66"/>
      <c r="K75" s="66"/>
      <c r="L75" s="66"/>
      <c r="M75" s="66"/>
      <c r="N75" s="66"/>
      <c r="O75" s="73"/>
      <c r="P75" s="73"/>
      <c r="Q75" s="73"/>
      <c r="R75" s="73"/>
      <c r="S75" s="76"/>
      <c r="T75" s="76"/>
      <c r="U75" s="76"/>
      <c r="V75" s="76"/>
      <c r="W75" s="76"/>
      <c r="X75" s="79"/>
      <c r="Y75" s="79"/>
      <c r="Z75" s="79"/>
      <c r="AA75" s="79"/>
      <c r="AB75" s="63"/>
      <c r="AC75" s="63"/>
      <c r="AD75" s="63"/>
      <c r="AE75" s="63"/>
      <c r="AF75" s="66"/>
      <c r="AG75" s="66"/>
      <c r="AH75" s="66"/>
      <c r="AI75" s="66"/>
      <c r="AJ75" s="66"/>
      <c r="AK75" s="73"/>
      <c r="AL75" s="73"/>
      <c r="AM75" s="73"/>
      <c r="AN75" s="73"/>
      <c r="AO75" s="76"/>
      <c r="AP75" s="76"/>
      <c r="AQ75" s="76"/>
      <c r="AR75" s="76"/>
      <c r="AS75" s="80"/>
      <c r="AT75" s="79"/>
      <c r="AU75" s="79"/>
      <c r="AV75" s="79"/>
      <c r="AW75" s="79"/>
      <c r="AX75" s="3">
        <f>SUM(F75:AW75)</f>
        <v>0</v>
      </c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spans="1:61" ht="30" customHeight="1">
      <c r="A76" s="6">
        <v>71</v>
      </c>
      <c r="B76" s="7" t="s">
        <v>107</v>
      </c>
      <c r="C76" s="6" t="s">
        <v>59</v>
      </c>
      <c r="D76" s="6" t="s">
        <v>108</v>
      </c>
      <c r="E76" s="6" t="s">
        <v>104</v>
      </c>
      <c r="F76" s="69"/>
      <c r="G76" s="69"/>
      <c r="H76" s="69"/>
      <c r="I76" s="69"/>
      <c r="J76" s="66"/>
      <c r="K76" s="66"/>
      <c r="L76" s="66"/>
      <c r="M76" s="66"/>
      <c r="N76" s="66"/>
      <c r="O76" s="73"/>
      <c r="P76" s="73"/>
      <c r="Q76" s="73"/>
      <c r="R76" s="73"/>
      <c r="S76" s="76"/>
      <c r="T76" s="76"/>
      <c r="U76" s="76"/>
      <c r="V76" s="76"/>
      <c r="W76" s="76"/>
      <c r="X76" s="79"/>
      <c r="Y76" s="79"/>
      <c r="Z76" s="79"/>
      <c r="AA76" s="79"/>
      <c r="AB76" s="63"/>
      <c r="AC76" s="63"/>
      <c r="AD76" s="63"/>
      <c r="AE76" s="63"/>
      <c r="AF76" s="66"/>
      <c r="AG76" s="66"/>
      <c r="AH76" s="66"/>
      <c r="AI76" s="66"/>
      <c r="AJ76" s="66"/>
      <c r="AK76" s="73"/>
      <c r="AL76" s="73"/>
      <c r="AM76" s="73"/>
      <c r="AN76" s="73"/>
      <c r="AO76" s="76"/>
      <c r="AP76" s="76"/>
      <c r="AQ76" s="76"/>
      <c r="AR76" s="76"/>
      <c r="AS76" s="79"/>
      <c r="AT76" s="79"/>
      <c r="AU76" s="79"/>
      <c r="AV76" s="79"/>
      <c r="AW76" s="79"/>
      <c r="AX76" s="3">
        <f>SUM(F76:AW76)</f>
        <v>0</v>
      </c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spans="1:61" ht="30" customHeight="1">
      <c r="A77" s="6">
        <v>72</v>
      </c>
      <c r="B77" s="7" t="s">
        <v>31</v>
      </c>
      <c r="C77" s="6" t="s">
        <v>34</v>
      </c>
      <c r="D77" s="6" t="s">
        <v>86</v>
      </c>
      <c r="E77" s="6" t="s">
        <v>83</v>
      </c>
      <c r="F77" s="69"/>
      <c r="G77" s="69"/>
      <c r="H77" s="69"/>
      <c r="I77" s="69"/>
      <c r="J77" s="66"/>
      <c r="K77" s="66"/>
      <c r="L77" s="66"/>
      <c r="M77" s="66"/>
      <c r="N77" s="66"/>
      <c r="O77" s="73"/>
      <c r="P77" s="73"/>
      <c r="Q77" s="73"/>
      <c r="R77" s="73"/>
      <c r="S77" s="76"/>
      <c r="T77" s="76"/>
      <c r="U77" s="76"/>
      <c r="V77" s="76"/>
      <c r="W77" s="76"/>
      <c r="X77" s="79"/>
      <c r="Y77" s="79"/>
      <c r="Z77" s="79"/>
      <c r="AA77" s="79"/>
      <c r="AB77" s="63"/>
      <c r="AC77" s="63"/>
      <c r="AD77" s="63"/>
      <c r="AE77" s="63"/>
      <c r="AF77" s="66"/>
      <c r="AG77" s="66"/>
      <c r="AH77" s="66"/>
      <c r="AI77" s="66"/>
      <c r="AJ77" s="66"/>
      <c r="AK77" s="73"/>
      <c r="AL77" s="73"/>
      <c r="AM77" s="73"/>
      <c r="AN77" s="73"/>
      <c r="AO77" s="76"/>
      <c r="AP77" s="76"/>
      <c r="AQ77" s="76"/>
      <c r="AR77" s="76"/>
      <c r="AS77" s="80"/>
      <c r="AT77" s="80"/>
      <c r="AU77" s="79"/>
      <c r="AV77" s="79"/>
      <c r="AW77" s="79"/>
      <c r="AX77" s="3">
        <f>SUM(F77:AW77)</f>
        <v>0</v>
      </c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spans="1:61" ht="30" customHeight="1">
      <c r="A78" s="6">
        <v>73</v>
      </c>
      <c r="B78" s="7" t="s">
        <v>14</v>
      </c>
      <c r="C78" s="6" t="s">
        <v>61</v>
      </c>
      <c r="D78" s="6" t="s">
        <v>94</v>
      </c>
      <c r="E78" s="6" t="s">
        <v>21</v>
      </c>
      <c r="F78" s="69"/>
      <c r="G78" s="69"/>
      <c r="H78" s="69"/>
      <c r="I78" s="69"/>
      <c r="J78" s="66"/>
      <c r="K78" s="66"/>
      <c r="L78" s="66"/>
      <c r="M78" s="66"/>
      <c r="N78" s="66"/>
      <c r="O78" s="73"/>
      <c r="P78" s="73"/>
      <c r="Q78" s="73"/>
      <c r="R78" s="73"/>
      <c r="S78" s="76"/>
      <c r="T78" s="76"/>
      <c r="U78" s="76"/>
      <c r="V78" s="76"/>
      <c r="W78" s="76"/>
      <c r="X78" s="79"/>
      <c r="Y78" s="79"/>
      <c r="Z78" s="79"/>
      <c r="AA78" s="79"/>
      <c r="AB78" s="63"/>
      <c r="AC78" s="63"/>
      <c r="AD78" s="63"/>
      <c r="AE78" s="63"/>
      <c r="AF78" s="66"/>
      <c r="AG78" s="66"/>
      <c r="AH78" s="66"/>
      <c r="AI78" s="66"/>
      <c r="AJ78" s="66"/>
      <c r="AK78" s="73"/>
      <c r="AL78" s="73"/>
      <c r="AM78" s="73"/>
      <c r="AN78" s="73"/>
      <c r="AO78" s="76"/>
      <c r="AP78" s="76"/>
      <c r="AQ78" s="76"/>
      <c r="AR78" s="76"/>
      <c r="AS78" s="79"/>
      <c r="AT78" s="79"/>
      <c r="AU78" s="79"/>
      <c r="AV78" s="79"/>
      <c r="AW78" s="79"/>
      <c r="AX78" s="3">
        <f>SUM(F78:AW78)</f>
        <v>0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spans="1:61" ht="30" customHeight="1">
      <c r="A79" s="6">
        <v>74</v>
      </c>
      <c r="B79" s="7" t="s">
        <v>37</v>
      </c>
      <c r="C79" s="6" t="s">
        <v>34</v>
      </c>
      <c r="D79" s="6" t="s">
        <v>73</v>
      </c>
      <c r="E79" s="6" t="s">
        <v>66</v>
      </c>
      <c r="F79" s="69"/>
      <c r="G79" s="69"/>
      <c r="H79" s="69"/>
      <c r="I79" s="69"/>
      <c r="J79" s="66"/>
      <c r="K79" s="66"/>
      <c r="L79" s="66"/>
      <c r="M79" s="66"/>
      <c r="N79" s="66"/>
      <c r="O79" s="73"/>
      <c r="P79" s="73"/>
      <c r="Q79" s="73"/>
      <c r="R79" s="73"/>
      <c r="S79" s="76"/>
      <c r="T79" s="76"/>
      <c r="U79" s="76"/>
      <c r="V79" s="76"/>
      <c r="W79" s="76"/>
      <c r="X79" s="79"/>
      <c r="Y79" s="79"/>
      <c r="Z79" s="79"/>
      <c r="AA79" s="79"/>
      <c r="AB79" s="63"/>
      <c r="AC79" s="63"/>
      <c r="AD79" s="63"/>
      <c r="AE79" s="63"/>
      <c r="AF79" s="66"/>
      <c r="AG79" s="66"/>
      <c r="AH79" s="66"/>
      <c r="AI79" s="66"/>
      <c r="AJ79" s="66"/>
      <c r="AK79" s="73"/>
      <c r="AL79" s="73"/>
      <c r="AM79" s="73"/>
      <c r="AN79" s="73"/>
      <c r="AO79" s="76"/>
      <c r="AP79" s="76"/>
      <c r="AQ79" s="76"/>
      <c r="AR79" s="76"/>
      <c r="AS79" s="79"/>
      <c r="AT79" s="79"/>
      <c r="AU79" s="79"/>
      <c r="AV79" s="79"/>
      <c r="AW79" s="79"/>
      <c r="AX79" s="3">
        <f>SUM(F79:AW79)</f>
        <v>0</v>
      </c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spans="1:61" ht="30" customHeight="1">
      <c r="A80" s="6">
        <v>75</v>
      </c>
      <c r="B80" s="7" t="s">
        <v>40</v>
      </c>
      <c r="C80" s="6" t="s">
        <v>61</v>
      </c>
      <c r="D80" s="6" t="s">
        <v>80</v>
      </c>
      <c r="E80" s="6" t="s">
        <v>77</v>
      </c>
      <c r="F80" s="69"/>
      <c r="G80" s="69"/>
      <c r="H80" s="69"/>
      <c r="I80" s="69"/>
      <c r="J80" s="66"/>
      <c r="K80" s="66"/>
      <c r="L80" s="66"/>
      <c r="M80" s="66"/>
      <c r="N80" s="66"/>
      <c r="O80" s="73"/>
      <c r="P80" s="73"/>
      <c r="Q80" s="73"/>
      <c r="R80" s="73"/>
      <c r="S80" s="76"/>
      <c r="T80" s="76"/>
      <c r="U80" s="76"/>
      <c r="V80" s="76"/>
      <c r="W80" s="76"/>
      <c r="X80" s="79"/>
      <c r="Y80" s="79"/>
      <c r="Z80" s="79"/>
      <c r="AA80" s="79"/>
      <c r="AB80" s="63"/>
      <c r="AC80" s="63"/>
      <c r="AD80" s="63"/>
      <c r="AE80" s="63"/>
      <c r="AF80" s="66"/>
      <c r="AG80" s="66"/>
      <c r="AH80" s="66"/>
      <c r="AI80" s="66"/>
      <c r="AJ80" s="66"/>
      <c r="AK80" s="73"/>
      <c r="AL80" s="73"/>
      <c r="AM80" s="73"/>
      <c r="AN80" s="73"/>
      <c r="AO80" s="76"/>
      <c r="AP80" s="76"/>
      <c r="AQ80" s="76"/>
      <c r="AR80" s="76"/>
      <c r="AS80" s="79"/>
      <c r="AT80" s="79"/>
      <c r="AU80" s="79"/>
      <c r="AV80" s="79"/>
      <c r="AW80" s="79"/>
      <c r="AX80" s="3">
        <f>SUM(F80:AW80)</f>
        <v>0</v>
      </c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spans="1:61" ht="30" customHeight="1">
      <c r="A81" s="24" t="s">
        <v>12</v>
      </c>
      <c r="B81" s="27"/>
      <c r="C81" s="27"/>
      <c r="D81" s="27"/>
      <c r="E81" s="28"/>
      <c r="F81" s="69">
        <f>SUM(F6:F80)</f>
        <v>0</v>
      </c>
      <c r="G81" s="69">
        <f>SUM(G6:G80)</f>
        <v>0</v>
      </c>
      <c r="H81" s="69">
        <f>SUM(H6:H80)</f>
        <v>0</v>
      </c>
      <c r="I81" s="69">
        <f>SUM(I6:I80)</f>
        <v>0</v>
      </c>
      <c r="J81" s="66">
        <f>SUM(J6:J80)</f>
        <v>0</v>
      </c>
      <c r="K81" s="66">
        <f>SUM(K6:K80)</f>
        <v>0</v>
      </c>
      <c r="L81" s="66">
        <f>SUM(L6:L80)</f>
        <v>0</v>
      </c>
      <c r="M81" s="66">
        <f>SUM(M6:M80)</f>
        <v>0</v>
      </c>
      <c r="N81" s="66">
        <f>SUM(N6:N80)</f>
        <v>0</v>
      </c>
      <c r="O81" s="73">
        <f>SUM(O6:O80)</f>
        <v>0</v>
      </c>
      <c r="P81" s="73">
        <f>SUM(P6:P80)</f>
        <v>0</v>
      </c>
      <c r="Q81" s="73">
        <f>SUM(Q6:Q80)</f>
        <v>0</v>
      </c>
      <c r="R81" s="73">
        <f>SUM(R6:R80)</f>
        <v>0</v>
      </c>
      <c r="S81" s="76">
        <f>SUM(S6:S80)</f>
        <v>0</v>
      </c>
      <c r="T81" s="76">
        <f>SUM(T6:T80)</f>
        <v>0</v>
      </c>
      <c r="U81" s="76">
        <f>SUM(U6:U80)</f>
        <v>0</v>
      </c>
      <c r="V81" s="76">
        <f>SUM(V6:V80)</f>
        <v>0</v>
      </c>
      <c r="W81" s="76">
        <f>SUM(W6:W80)</f>
        <v>0</v>
      </c>
      <c r="X81" s="79">
        <f>SUM(X6:X80)</f>
        <v>0</v>
      </c>
      <c r="Y81" s="79">
        <f>SUM(Y6:Y80)</f>
        <v>0</v>
      </c>
      <c r="Z81" s="79">
        <f>SUM(Z6:Z80)</f>
        <v>0</v>
      </c>
      <c r="AA81" s="79">
        <f>SUM(AA6:AA80)</f>
        <v>0</v>
      </c>
      <c r="AB81" s="63">
        <f>SUM(AB6:AB80)</f>
        <v>0</v>
      </c>
      <c r="AC81" s="63">
        <f>SUM(AC6:AC80)</f>
        <v>0</v>
      </c>
      <c r="AD81" s="63">
        <f>SUM(AD6:AD80)</f>
        <v>0</v>
      </c>
      <c r="AE81" s="63">
        <f>SUM(AE6:AE80)</f>
        <v>0</v>
      </c>
      <c r="AF81" s="66">
        <f>SUM(AF6:AF80)</f>
        <v>0</v>
      </c>
      <c r="AG81" s="66">
        <f>SUM(AG6:AG80)</f>
        <v>0</v>
      </c>
      <c r="AH81" s="66">
        <f>SUM(AH6:AH80)</f>
        <v>0</v>
      </c>
      <c r="AI81" s="66">
        <f>SUM(AI6:AI80)</f>
        <v>0</v>
      </c>
      <c r="AJ81" s="66">
        <f>SUM(AJ6:AJ80)</f>
        <v>0</v>
      </c>
      <c r="AK81" s="73">
        <f>SUM(AK6:AK80)</f>
        <v>0</v>
      </c>
      <c r="AL81" s="73">
        <f>SUM(AL6:AL80)</f>
        <v>0</v>
      </c>
      <c r="AM81" s="73">
        <f>SUM(AM6:AM80)</f>
        <v>0</v>
      </c>
      <c r="AN81" s="73">
        <f>SUM(AN6:AN80)</f>
        <v>0</v>
      </c>
      <c r="AO81" s="76">
        <f>SUM(AO6:AO80)</f>
        <v>0</v>
      </c>
      <c r="AP81" s="76">
        <f>SUM(AP6:AP80)</f>
        <v>0</v>
      </c>
      <c r="AQ81" s="76">
        <f>SUM(AQ6:AQ80)</f>
        <v>0</v>
      </c>
      <c r="AR81" s="76">
        <f>SUM(AR6:AR80)</f>
        <v>0</v>
      </c>
      <c r="AS81" s="79">
        <f>SUM(AS6:AS80)</f>
        <v>0</v>
      </c>
      <c r="AT81" s="79">
        <f>SUM(AT6:AT80)</f>
        <v>0</v>
      </c>
      <c r="AU81" s="79">
        <f>SUM(AU6:AU80)</f>
        <v>0</v>
      </c>
      <c r="AV81" s="79">
        <f>SUM(AV6:AV80)</f>
        <v>0</v>
      </c>
      <c r="AW81" s="79">
        <f>SUM(AW6:AW80)</f>
        <v>0</v>
      </c>
      <c r="AX81" s="3">
        <f>SUM(AX6:AX80)</f>
        <v>0</v>
      </c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spans="1:61" ht="30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spans="1:61" ht="30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</row>
    <row r="84" spans="1:61" ht="30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spans="1:61" ht="30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spans="1:61" ht="30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8"/>
      <c r="AU86" s="1"/>
      <c r="AV86" s="1"/>
      <c r="AW86" s="1"/>
      <c r="AX86" s="1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spans="1:61" ht="30" customHeight="1">
      <c r="A87" s="1"/>
      <c r="B87" s="2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spans="1:61" ht="30" customHeight="1">
      <c r="A88" s="1"/>
      <c r="B88" s="2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spans="1:61" ht="30" customHeight="1">
      <c r="A89" s="1"/>
      <c r="B89" s="2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spans="1:61" ht="30" customHeight="1">
      <c r="A90" s="1"/>
      <c r="B90" s="2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spans="1:61" ht="30" customHeight="1">
      <c r="A91" s="1"/>
      <c r="B91" s="2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spans="1:61" ht="30" customHeight="1">
      <c r="A92" s="1"/>
      <c r="B92" s="2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spans="1:61" ht="30" customHeight="1">
      <c r="A93" s="1"/>
      <c r="B93" s="2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</row>
    <row r="94" spans="1:61" ht="30" customHeight="1">
      <c r="A94" s="1"/>
      <c r="B94" s="2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</row>
    <row r="95" spans="1:61" ht="30" customHeight="1">
      <c r="A95" s="1"/>
      <c r="B95" s="2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spans="1:61" ht="30" customHeight="1">
      <c r="A96" s="1"/>
      <c r="B96" s="2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spans="1:61" ht="30" customHeight="1">
      <c r="A97" s="1"/>
      <c r="B97" s="2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spans="1:61" ht="30" customHeight="1">
      <c r="A98" s="1"/>
      <c r="B98" s="2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spans="1:61" ht="30" customHeight="1">
      <c r="A99" s="1"/>
      <c r="B99" s="2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</row>
    <row r="100" spans="1:61" ht="30" customHeight="1">
      <c r="A100" s="1"/>
      <c r="B100" s="2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spans="1:61" ht="30" customHeight="1">
      <c r="A101" s="1"/>
      <c r="B101" s="2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</row>
    <row r="102" spans="1:61" ht="30" customHeight="1">
      <c r="A102" s="1"/>
      <c r="B102" s="2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spans="1:61" ht="30" customHeight="1">
      <c r="A103" s="1"/>
      <c r="B103" s="2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spans="1:61" ht="30" customHeight="1">
      <c r="A104" s="1"/>
      <c r="B104" s="2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spans="1:61" ht="30" customHeight="1">
      <c r="A105" s="1"/>
      <c r="B105" s="2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</row>
    <row r="106" spans="1:61" ht="30" customHeight="1">
      <c r="A106" s="1"/>
      <c r="B106" s="2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</row>
    <row r="107" spans="1:61" ht="30" customHeight="1">
      <c r="A107" s="1"/>
      <c r="B107" s="2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</row>
    <row r="108" spans="1:61" ht="30" customHeight="1">
      <c r="A108" s="1"/>
      <c r="B108" s="2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</row>
    <row r="109" spans="1:61" ht="30" customHeight="1">
      <c r="A109" s="1"/>
      <c r="B109" s="2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</row>
    <row r="110" spans="1:61" ht="30" customHeight="1">
      <c r="A110" s="1"/>
      <c r="B110" s="2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</row>
    <row r="111" spans="1:61" ht="30" customHeight="1">
      <c r="A111" s="1"/>
      <c r="B111" s="2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</row>
    <row r="112" spans="1:61" ht="30" customHeight="1">
      <c r="A112" s="1"/>
      <c r="B112" s="2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</row>
    <row r="113" spans="1:61" ht="30" customHeight="1">
      <c r="A113" s="1"/>
      <c r="B113" s="2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</row>
    <row r="114" spans="1:61" ht="30" customHeight="1">
      <c r="A114" s="1"/>
      <c r="B114" s="2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</row>
    <row r="115" spans="1:61" ht="30" customHeight="1">
      <c r="A115" s="1"/>
      <c r="B115" s="2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</row>
    <row r="116" spans="1:61" ht="30" customHeight="1">
      <c r="A116" s="1"/>
      <c r="B116" s="2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</row>
    <row r="117" spans="1:61" ht="30" customHeight="1">
      <c r="A117" s="1"/>
      <c r="B117" s="2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</row>
    <row r="118" spans="1:61" ht="30" customHeight="1">
      <c r="A118" s="1"/>
      <c r="B118" s="2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</row>
    <row r="119" spans="1:61" ht="30" customHeight="1">
      <c r="A119" s="1"/>
      <c r="B119" s="2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</row>
    <row r="120" spans="1:61" ht="30" customHeight="1">
      <c r="A120" s="1"/>
      <c r="B120" s="2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</row>
    <row r="121" spans="1:61" ht="30" customHeight="1">
      <c r="A121" s="1"/>
      <c r="B121" s="2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</row>
    <row r="122" spans="1:61" ht="30" customHeight="1">
      <c r="A122" s="1"/>
      <c r="B122" s="2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</row>
    <row r="123" spans="1:61" ht="30" customHeight="1">
      <c r="A123" s="1"/>
      <c r="B123" s="2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</row>
    <row r="124" spans="1:61" ht="30" customHeight="1">
      <c r="A124" s="1"/>
      <c r="B124" s="2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</row>
    <row r="125" spans="1:61" ht="30" customHeight="1">
      <c r="A125" s="1"/>
      <c r="B125" s="2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</row>
    <row r="126" spans="1:61" ht="30" customHeight="1">
      <c r="A126" s="1"/>
      <c r="B126" s="2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</row>
    <row r="127" spans="1:61" ht="30" customHeight="1">
      <c r="A127" s="1"/>
      <c r="B127" s="2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</row>
    <row r="128" spans="1:61" ht="30" customHeight="1">
      <c r="A128" s="1"/>
      <c r="B128" s="2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</row>
    <row r="129" spans="1:61" ht="30" customHeight="1">
      <c r="A129" s="1"/>
      <c r="B129" s="2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</row>
    <row r="130" spans="1:61" ht="30" customHeight="1">
      <c r="A130" s="1"/>
      <c r="B130" s="2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</row>
    <row r="131" spans="1:61" ht="30" customHeight="1">
      <c r="A131" s="1"/>
      <c r="B131" s="2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</row>
    <row r="132" spans="1:61" ht="30" customHeight="1">
      <c r="A132" s="1"/>
      <c r="B132" s="2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</row>
    <row r="133" spans="1:61" ht="30" customHeight="1">
      <c r="A133" s="1"/>
      <c r="B133" s="2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</row>
    <row r="134" spans="1:61" ht="30" customHeight="1">
      <c r="A134" s="1"/>
      <c r="B134" s="2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</row>
    <row r="135" spans="1:61" ht="30" customHeight="1">
      <c r="A135" s="1"/>
      <c r="B135" s="2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</row>
    <row r="136" spans="1:61" ht="30" customHeight="1">
      <c r="A136" s="1"/>
      <c r="B136" s="2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</row>
    <row r="137" spans="1:61" ht="30" customHeight="1">
      <c r="A137" s="1"/>
      <c r="B137" s="2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</row>
    <row r="138" spans="1:61" ht="30" customHeight="1">
      <c r="A138" s="1"/>
      <c r="B138" s="2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</row>
    <row r="139" spans="1:61" ht="30" customHeight="1">
      <c r="A139" s="1"/>
      <c r="B139" s="2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</row>
    <row r="140" spans="1:61" ht="30" customHeight="1">
      <c r="A140" s="1"/>
      <c r="B140" s="2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</row>
    <row r="141" spans="1:61" ht="30" customHeight="1">
      <c r="A141" s="1"/>
      <c r="B141" s="2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</row>
    <row r="142" spans="1:61" ht="30" customHeight="1">
      <c r="A142" s="1"/>
      <c r="B142" s="2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</row>
    <row r="143" spans="1:61" ht="30" customHeight="1">
      <c r="A143" s="1"/>
      <c r="B143" s="2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</row>
    <row r="144" spans="1:61" ht="30" customHeight="1">
      <c r="A144" s="1"/>
      <c r="B144" s="2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</row>
    <row r="145" spans="1:61" ht="30" customHeight="1">
      <c r="A145" s="1"/>
      <c r="B145" s="2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</row>
    <row r="146" spans="1:61" ht="30" customHeight="1">
      <c r="A146" s="1"/>
      <c r="B146" s="2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</row>
    <row r="147" spans="1:61" ht="30" customHeight="1">
      <c r="A147" s="1"/>
      <c r="B147" s="2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</row>
    <row r="148" spans="1:61" ht="30" customHeight="1">
      <c r="A148" s="1"/>
      <c r="B148" s="2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</row>
    <row r="149" spans="1:61" ht="30" customHeight="1">
      <c r="A149" s="1"/>
      <c r="B149" s="2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</row>
    <row r="150" spans="1:61" ht="30" customHeight="1">
      <c r="A150" s="1"/>
      <c r="B150" s="2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</row>
    <row r="151" spans="1:61" ht="30" customHeight="1">
      <c r="A151" s="1"/>
      <c r="B151" s="2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</row>
    <row r="152" spans="1:61" ht="30" customHeight="1">
      <c r="A152" s="1"/>
      <c r="B152" s="2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</row>
    <row r="153" spans="1:61" ht="30" customHeight="1">
      <c r="A153" s="1"/>
      <c r="B153" s="2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</row>
    <row r="154" spans="1:61" ht="30" customHeight="1">
      <c r="A154" s="1"/>
      <c r="B154" s="2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</row>
    <row r="155" spans="1:61" ht="30" customHeight="1">
      <c r="A155" s="1"/>
      <c r="B155" s="2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</row>
    <row r="156" spans="1:61" ht="30" customHeight="1">
      <c r="A156" s="1"/>
      <c r="B156" s="2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</row>
    <row r="157" spans="1:61" ht="30" customHeight="1">
      <c r="A157" s="1"/>
      <c r="B157" s="2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</row>
    <row r="158" spans="1:61" ht="30" customHeight="1">
      <c r="A158" s="1"/>
      <c r="B158" s="2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</row>
    <row r="159" spans="1:61" ht="30" customHeight="1">
      <c r="A159" s="1"/>
      <c r="B159" s="2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</row>
    <row r="160" spans="1:61" ht="30" customHeight="1">
      <c r="A160" s="1"/>
      <c r="B160" s="2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</row>
    <row r="161" spans="1:61" ht="30" customHeight="1">
      <c r="A161" s="1"/>
      <c r="B161" s="2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</row>
    <row r="162" spans="1:61" ht="30" customHeight="1">
      <c r="A162" s="1"/>
      <c r="B162" s="2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</row>
    <row r="163" spans="1:61" ht="30" customHeight="1">
      <c r="A163" s="1"/>
      <c r="B163" s="2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</row>
    <row r="164" spans="1:61" ht="30" customHeight="1">
      <c r="A164" s="1"/>
      <c r="B164" s="2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</row>
    <row r="165" spans="1:61" ht="30" customHeight="1">
      <c r="A165" s="1"/>
      <c r="B165" s="2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</row>
    <row r="166" spans="1:61" ht="30" customHeight="1">
      <c r="A166" s="1"/>
      <c r="B166" s="2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</row>
    <row r="167" spans="1:61" ht="30" customHeight="1">
      <c r="A167" s="1"/>
      <c r="B167" s="2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</row>
    <row r="168" spans="1:61" ht="30" customHeight="1">
      <c r="A168" s="1"/>
      <c r="B168" s="2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spans="1:61" ht="30" customHeight="1">
      <c r="A169" s="1"/>
      <c r="B169" s="2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spans="1:61" ht="30" customHeight="1">
      <c r="A170" s="1"/>
      <c r="B170" s="2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</row>
    <row r="171" spans="1:61" ht="30" customHeight="1">
      <c r="A171" s="1"/>
      <c r="B171" s="2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spans="1:61" ht="30" customHeight="1">
      <c r="A172" s="1"/>
      <c r="B172" s="2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  <row r="173" spans="1:61" ht="30" customHeight="1">
      <c r="A173" s="1"/>
      <c r="B173" s="2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</row>
    <row r="174" spans="1:61" ht="30" customHeight="1">
      <c r="A174" s="1"/>
      <c r="B174" s="2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</row>
    <row r="175" spans="1:61" ht="30" customHeight="1">
      <c r="A175" s="1"/>
      <c r="B175" s="2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spans="1:61" ht="30" customHeight="1">
      <c r="A176" s="1"/>
      <c r="B176" s="2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</row>
    <row r="177" spans="1:61" ht="30" customHeight="1">
      <c r="A177" s="1"/>
      <c r="B177" s="2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</row>
    <row r="178" spans="1:61" ht="30" customHeight="1">
      <c r="A178" s="1"/>
      <c r="B178" s="2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</row>
    <row r="179" spans="1:61" ht="30" customHeight="1">
      <c r="A179" s="1"/>
      <c r="B179" s="2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</row>
    <row r="180" spans="1:61" ht="30" customHeight="1">
      <c r="A180" s="1"/>
      <c r="B180" s="2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</row>
    <row r="181" spans="1:61" ht="30" customHeight="1">
      <c r="A181" s="1"/>
      <c r="B181" s="2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spans="1:61" ht="30" customHeight="1">
      <c r="A182" s="1"/>
      <c r="B182" s="2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</row>
    <row r="183" spans="1:61" ht="30" customHeight="1">
      <c r="A183" s="1"/>
      <c r="B183" s="2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</row>
    <row r="184" spans="1:61" ht="30" customHeight="1">
      <c r="A184" s="1"/>
      <c r="B184" s="2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</row>
    <row r="185" spans="1:61" ht="30" customHeight="1">
      <c r="A185" s="1"/>
      <c r="B185" s="2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</row>
    <row r="186" spans="1:61" ht="30" customHeight="1">
      <c r="A186" s="1"/>
      <c r="B186" s="2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</row>
    <row r="187" spans="1:61" ht="30" customHeight="1">
      <c r="A187" s="1"/>
      <c r="B187" s="2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</row>
    <row r="188" spans="1:61" ht="30" customHeight="1">
      <c r="A188" s="1"/>
      <c r="B188" s="2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  <row r="189" spans="1:61" ht="30" customHeight="1">
      <c r="A189" s="1"/>
      <c r="B189" s="2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</row>
    <row r="190" spans="1:61" ht="30" customHeight="1">
      <c r="A190" s="1"/>
      <c r="B190" s="2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</row>
    <row r="191" spans="1:61" ht="30" customHeight="1">
      <c r="A191" s="1"/>
      <c r="B191" s="2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</row>
    <row r="192" spans="1:61" ht="30" customHeight="1">
      <c r="A192" s="1"/>
      <c r="B192" s="2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</row>
    <row r="193" spans="1:61" ht="30" customHeight="1">
      <c r="A193" s="1"/>
      <c r="B193" s="2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</row>
    <row r="194" spans="1:61" ht="30" customHeight="1">
      <c r="A194" s="1"/>
      <c r="B194" s="2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</row>
    <row r="195" spans="1:61" ht="30" customHeight="1">
      <c r="A195" s="1"/>
      <c r="B195" s="2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</row>
    <row r="196" spans="1:61" ht="30" customHeight="1">
      <c r="A196" s="1"/>
      <c r="B196" s="2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</row>
    <row r="197" spans="1:61" ht="30" customHeight="1">
      <c r="A197" s="1"/>
      <c r="B197" s="2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</row>
    <row r="198" spans="1:61" ht="30" customHeight="1">
      <c r="A198" s="1"/>
      <c r="B198" s="2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</row>
    <row r="199" spans="1:61" ht="30" customHeight="1">
      <c r="A199" s="1"/>
      <c r="B199" s="2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</row>
    <row r="200" spans="1:61" ht="30" customHeight="1">
      <c r="A200" s="1"/>
      <c r="B200" s="2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</row>
    <row r="201" spans="1:61" ht="30" customHeight="1">
      <c r="A201" s="1"/>
      <c r="B201" s="2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</row>
    <row r="202" spans="1:61" ht="30" customHeight="1">
      <c r="A202" s="1"/>
      <c r="B202" s="2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</row>
    <row r="203" spans="1:61" ht="30" customHeight="1">
      <c r="A203" s="1"/>
      <c r="B203" s="2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</row>
    <row r="204" spans="1:61" ht="30" customHeight="1">
      <c r="A204" s="1"/>
      <c r="B204" s="2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</row>
    <row r="205" spans="1:61" ht="30" customHeight="1">
      <c r="A205" s="1"/>
      <c r="B205" s="2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</row>
    <row r="206" spans="1:61" ht="30" customHeight="1">
      <c r="A206" s="1"/>
      <c r="B206" s="2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</row>
    <row r="207" spans="1:61" ht="30" customHeight="1">
      <c r="A207" s="1"/>
      <c r="B207" s="2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</row>
    <row r="208" spans="1:61" ht="30" customHeight="1">
      <c r="A208" s="1"/>
      <c r="B208" s="2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</row>
    <row r="209" spans="1:61" ht="30" customHeight="1">
      <c r="A209" s="1"/>
      <c r="B209" s="2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</row>
    <row r="210" spans="1:61" ht="30" customHeight="1">
      <c r="A210" s="1"/>
      <c r="B210" s="2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</row>
    <row r="211" spans="1:61" ht="30" customHeight="1">
      <c r="A211" s="1"/>
      <c r="B211" s="2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</row>
    <row r="212" spans="1:61" ht="30" customHeight="1">
      <c r="A212" s="1"/>
      <c r="B212" s="2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</row>
    <row r="213" spans="1:61" ht="30" customHeight="1">
      <c r="A213" s="1"/>
      <c r="B213" s="2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</row>
    <row r="214" spans="1:61" ht="30" customHeight="1">
      <c r="A214" s="1"/>
      <c r="B214" s="2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</row>
    <row r="215" spans="1:61" ht="30" customHeight="1">
      <c r="A215" s="1"/>
      <c r="B215" s="2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</row>
    <row r="216" spans="1:61" ht="30" customHeight="1">
      <c r="A216" s="1"/>
      <c r="B216" s="2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</row>
    <row r="217" spans="1:61" ht="30" customHeight="1">
      <c r="A217" s="1"/>
      <c r="B217" s="2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</row>
    <row r="218" spans="1:61" ht="30" customHeight="1">
      <c r="A218" s="1"/>
      <c r="B218" s="2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</row>
    <row r="219" spans="1:61" ht="30" customHeight="1">
      <c r="A219" s="1"/>
      <c r="B219" s="2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</row>
    <row r="220" spans="1:61" ht="30" customHeight="1">
      <c r="A220" s="1"/>
      <c r="B220" s="2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</row>
    <row r="221" spans="1:61" ht="30" customHeight="1">
      <c r="A221" s="1"/>
      <c r="B221" s="2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</row>
    <row r="222" spans="1:61" ht="30" customHeight="1">
      <c r="A222" s="1"/>
      <c r="B222" s="2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</row>
    <row r="223" spans="1:61" ht="30" customHeight="1">
      <c r="A223" s="1"/>
      <c r="B223" s="2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</row>
    <row r="224" spans="1:61" ht="30" customHeight="1">
      <c r="A224" s="1"/>
      <c r="B224" s="2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</row>
    <row r="225" spans="1:61" ht="30" customHeight="1">
      <c r="A225" s="1"/>
      <c r="B225" s="2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</row>
    <row r="226" spans="1:61" ht="30" customHeight="1">
      <c r="A226" s="1"/>
      <c r="B226" s="2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</row>
    <row r="227" spans="1:61" ht="30" customHeight="1">
      <c r="A227" s="1"/>
      <c r="B227" s="2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</row>
    <row r="228" spans="1:61" ht="30" customHeight="1">
      <c r="A228" s="1"/>
      <c r="B228" s="2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</row>
    <row r="229" spans="1:61" ht="30" customHeight="1">
      <c r="A229" s="1"/>
      <c r="B229" s="2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</row>
    <row r="230" spans="1:61" ht="30" customHeight="1">
      <c r="A230" s="1"/>
      <c r="B230" s="2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</row>
    <row r="231" spans="1:61" ht="30" customHeight="1">
      <c r="A231" s="1"/>
      <c r="B231" s="2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</row>
    <row r="232" spans="1:61" ht="30" customHeight="1">
      <c r="A232" s="1"/>
      <c r="B232" s="2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</row>
    <row r="233" spans="1:61" ht="30" customHeight="1">
      <c r="A233" s="1"/>
      <c r="B233" s="2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</row>
    <row r="234" spans="1:61" ht="30" customHeight="1">
      <c r="A234" s="1"/>
      <c r="B234" s="2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</row>
    <row r="235" spans="1:61" ht="30" customHeight="1">
      <c r="A235" s="1"/>
      <c r="B235" s="2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</row>
    <row r="236" spans="1:61" ht="30" customHeight="1">
      <c r="A236" s="1"/>
      <c r="B236" s="2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</row>
    <row r="237" spans="1:61" ht="30" customHeight="1">
      <c r="A237" s="1"/>
      <c r="B237" s="2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</row>
    <row r="238" spans="1:61" ht="30" customHeight="1">
      <c r="A238" s="1"/>
      <c r="B238" s="2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</row>
    <row r="239" spans="1:61" ht="30" customHeight="1">
      <c r="A239" s="1"/>
      <c r="B239" s="2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</row>
    <row r="240" spans="1:61" ht="30" customHeight="1">
      <c r="A240" s="1"/>
      <c r="B240" s="2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</row>
    <row r="241" spans="1:61" ht="30" customHeight="1">
      <c r="A241" s="1"/>
      <c r="B241" s="2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</row>
    <row r="242" spans="1:61" ht="30" customHeight="1">
      <c r="A242" s="1"/>
      <c r="B242" s="2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</row>
    <row r="243" spans="1:61" ht="30" customHeight="1">
      <c r="A243" s="1"/>
      <c r="B243" s="2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</row>
    <row r="244" spans="1:61" ht="30" customHeight="1">
      <c r="A244" s="1"/>
      <c r="B244" s="2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</row>
    <row r="245" spans="1:61" ht="30" customHeight="1">
      <c r="A245" s="1"/>
      <c r="B245" s="2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</row>
    <row r="246" spans="1:61" ht="30" customHeight="1">
      <c r="A246" s="1"/>
      <c r="B246" s="2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</row>
    <row r="247" spans="1:61" ht="30" customHeight="1">
      <c r="A247" s="1"/>
      <c r="B247" s="2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</row>
    <row r="248" spans="1:61" ht="30" customHeight="1">
      <c r="A248" s="1"/>
      <c r="B248" s="2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</row>
    <row r="249" spans="1:61" ht="30" customHeight="1">
      <c r="A249" s="1"/>
      <c r="B249" s="2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</row>
    <row r="250" spans="1:61" ht="30" customHeight="1">
      <c r="A250" s="1"/>
      <c r="B250" s="2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</row>
    <row r="251" spans="1:61" ht="30" customHeight="1">
      <c r="A251" s="1"/>
      <c r="B251" s="2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</row>
    <row r="252" spans="1:61" ht="30" customHeight="1">
      <c r="A252" s="1"/>
      <c r="B252" s="2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</row>
    <row r="253" spans="1:61" ht="30" customHeight="1">
      <c r="A253" s="1"/>
      <c r="B253" s="2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</row>
    <row r="254" spans="1:61" ht="30" customHeight="1">
      <c r="A254" s="1"/>
      <c r="B254" s="2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</row>
    <row r="255" spans="1:61" ht="30" customHeight="1">
      <c r="A255" s="1"/>
      <c r="B255" s="2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</row>
    <row r="256" spans="1:61" ht="30" customHeight="1">
      <c r="A256" s="1"/>
      <c r="B256" s="2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</row>
    <row r="257" spans="1:61" ht="30" customHeight="1">
      <c r="A257" s="1"/>
      <c r="B257" s="2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</row>
    <row r="258" spans="1:61" ht="30" customHeight="1">
      <c r="A258" s="1"/>
      <c r="B258" s="2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</row>
    <row r="259" spans="1:61" ht="30" customHeight="1">
      <c r="A259" s="1"/>
      <c r="B259" s="2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</row>
    <row r="260" spans="1:61" ht="30" customHeight="1">
      <c r="A260" s="1"/>
      <c r="B260" s="2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</row>
    <row r="261" spans="1:61" ht="30" customHeight="1">
      <c r="A261" s="1"/>
      <c r="B261" s="2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</row>
    <row r="262" spans="1:61" ht="30" customHeight="1">
      <c r="A262" s="1"/>
      <c r="B262" s="2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</row>
    <row r="263" spans="1:61" ht="30" customHeight="1">
      <c r="A263" s="1"/>
      <c r="B263" s="2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</row>
    <row r="264" spans="1:61" ht="30" customHeight="1">
      <c r="A264" s="1"/>
      <c r="B264" s="2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</row>
    <row r="265" spans="1:61" ht="30" customHeight="1">
      <c r="A265" s="1"/>
      <c r="B265" s="2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</row>
    <row r="266" spans="1:61" ht="30" customHeight="1">
      <c r="A266" s="1"/>
      <c r="B266" s="2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</row>
    <row r="267" spans="1:61" ht="30" customHeight="1">
      <c r="A267" s="1"/>
      <c r="B267" s="2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</row>
    <row r="268" spans="1:61" ht="30" customHeight="1">
      <c r="A268" s="1"/>
      <c r="B268" s="2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</row>
    <row r="269" spans="1:61" ht="30" customHeight="1">
      <c r="A269" s="1"/>
      <c r="B269" s="2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</row>
    <row r="270" spans="1:61" ht="30" customHeight="1">
      <c r="A270" s="1"/>
      <c r="B270" s="2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</row>
    <row r="271" spans="1:61" ht="30" customHeight="1">
      <c r="A271" s="1"/>
      <c r="B271" s="2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</row>
    <row r="272" spans="1:61" ht="30" customHeight="1">
      <c r="A272" s="1"/>
      <c r="B272" s="2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</row>
    <row r="273" spans="1:61" ht="30" customHeight="1">
      <c r="A273" s="1"/>
      <c r="B273" s="2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</row>
    <row r="274" spans="1:61" ht="30" customHeight="1">
      <c r="A274" s="1"/>
      <c r="B274" s="2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</row>
    <row r="275" spans="1:61" ht="30" customHeight="1">
      <c r="A275" s="1"/>
      <c r="B275" s="2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</row>
    <row r="276" spans="1:61" ht="30" customHeight="1">
      <c r="A276" s="1"/>
      <c r="B276" s="2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</row>
    <row r="277" spans="1:61" ht="30" customHeight="1">
      <c r="A277" s="1"/>
      <c r="B277" s="2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</row>
    <row r="278" spans="1:61" ht="30" customHeight="1">
      <c r="A278" s="1"/>
      <c r="B278" s="2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</row>
    <row r="279" spans="1:61" ht="30" customHeight="1">
      <c r="A279" s="1"/>
      <c r="B279" s="2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</row>
    <row r="280" spans="1:61" ht="30" customHeight="1">
      <c r="A280" s="1"/>
      <c r="B280" s="2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</row>
    <row r="281" spans="1:61" ht="30" customHeight="1">
      <c r="A281" s="1"/>
      <c r="B281" s="2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</row>
    <row r="282" spans="1:61" ht="30" customHeight="1">
      <c r="A282" s="1"/>
      <c r="B282" s="2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</row>
    <row r="283" spans="1:61" ht="30" customHeight="1">
      <c r="A283" s="1"/>
      <c r="B283" s="2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</row>
    <row r="284" spans="1:61" ht="30" customHeight="1">
      <c r="A284" s="1"/>
      <c r="B284" s="2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</row>
    <row r="285" spans="1:61" ht="30" customHeight="1">
      <c r="A285" s="1"/>
      <c r="B285" s="2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</row>
    <row r="286" spans="1:61" ht="30" customHeight="1">
      <c r="A286" s="1"/>
      <c r="B286" s="2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</row>
    <row r="287" spans="1:61" ht="30" customHeight="1">
      <c r="A287" s="1"/>
      <c r="B287" s="2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</row>
    <row r="288" spans="1:61" ht="30" customHeight="1">
      <c r="A288" s="1"/>
      <c r="B288" s="2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</row>
    <row r="289" spans="1:61" ht="30" customHeight="1">
      <c r="A289" s="1"/>
      <c r="B289" s="2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</row>
    <row r="290" spans="1:61" ht="30" customHeight="1">
      <c r="A290" s="1"/>
      <c r="B290" s="2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</row>
    <row r="291" spans="1:61" ht="30" customHeight="1">
      <c r="A291" s="1"/>
      <c r="B291" s="2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</row>
    <row r="292" spans="1:61" ht="30" customHeight="1">
      <c r="A292" s="1"/>
      <c r="B292" s="2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</row>
    <row r="293" spans="1:61" ht="30" customHeight="1">
      <c r="A293" s="1"/>
      <c r="B293" s="2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</row>
    <row r="294" spans="1:61" ht="30" customHeight="1">
      <c r="A294" s="1"/>
      <c r="B294" s="2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</row>
    <row r="295" spans="1:61" ht="30" customHeight="1">
      <c r="A295" s="1"/>
      <c r="B295" s="2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</row>
    <row r="296" spans="1:61" ht="30" customHeight="1">
      <c r="A296" s="1"/>
      <c r="B296" s="2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</row>
    <row r="297" spans="1:61" ht="30" customHeight="1">
      <c r="A297" s="1"/>
      <c r="B297" s="2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</row>
    <row r="298" spans="1:61" ht="30" customHeight="1">
      <c r="A298" s="1"/>
      <c r="B298" s="2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</row>
    <row r="299" spans="1:61" ht="30" customHeight="1">
      <c r="A299" s="1"/>
      <c r="B299" s="2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</row>
    <row r="300" spans="1:61" ht="30" customHeight="1">
      <c r="A300" s="1"/>
      <c r="B300" s="2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</row>
    <row r="301" spans="1:61" ht="30" customHeight="1">
      <c r="A301" s="1"/>
      <c r="B301" s="2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</row>
    <row r="302" spans="1:61" ht="30" customHeight="1">
      <c r="A302" s="1"/>
      <c r="B302" s="2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</row>
    <row r="303" spans="1:61" ht="30" customHeight="1">
      <c r="A303" s="1"/>
      <c r="B303" s="2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</row>
    <row r="304" spans="1:61" ht="30" customHeight="1">
      <c r="A304" s="1"/>
      <c r="B304" s="2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</row>
    <row r="305" spans="1:61" ht="30" customHeight="1">
      <c r="A305" s="1"/>
      <c r="B305" s="2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</row>
    <row r="306" spans="1:61" ht="30" customHeight="1">
      <c r="A306" s="1"/>
      <c r="B306" s="2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</row>
    <row r="307" spans="1:61" ht="30" customHeight="1">
      <c r="A307" s="1"/>
      <c r="B307" s="2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</row>
    <row r="308" spans="1:61" ht="30" customHeight="1">
      <c r="A308" s="1"/>
      <c r="B308" s="2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</row>
    <row r="309" spans="1:61" ht="30" customHeight="1">
      <c r="A309" s="1"/>
      <c r="B309" s="2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</row>
    <row r="310" spans="1:61" ht="30" customHeight="1">
      <c r="A310" s="1"/>
      <c r="B310" s="2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</row>
    <row r="311" spans="1:61" ht="30" customHeight="1">
      <c r="A311" s="1"/>
      <c r="B311" s="2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</row>
    <row r="312" spans="1:61" ht="30" customHeight="1">
      <c r="A312" s="1"/>
      <c r="B312" s="2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</row>
    <row r="313" spans="1:61" ht="30" customHeight="1">
      <c r="A313" s="1"/>
      <c r="B313" s="2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</row>
    <row r="314" spans="1:61" ht="30" customHeight="1">
      <c r="A314" s="1"/>
      <c r="B314" s="2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</row>
    <row r="315" spans="1:61" ht="30" customHeight="1">
      <c r="A315" s="1"/>
      <c r="B315" s="2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</row>
    <row r="316" spans="1:61" ht="30" customHeight="1">
      <c r="A316" s="1"/>
      <c r="B316" s="2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</row>
    <row r="317" spans="1:61" ht="30" customHeight="1">
      <c r="A317" s="1"/>
      <c r="B317" s="2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</row>
    <row r="318" spans="1:61" ht="30" customHeight="1">
      <c r="A318" s="1"/>
      <c r="B318" s="2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</row>
    <row r="319" spans="1:61" ht="30" customHeight="1">
      <c r="A319" s="1"/>
      <c r="B319" s="2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</row>
    <row r="320" spans="1:61" ht="30" customHeight="1">
      <c r="A320" s="1"/>
      <c r="B320" s="2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</row>
    <row r="321" spans="1:61" ht="30" customHeight="1">
      <c r="A321" s="1"/>
      <c r="B321" s="2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</row>
    <row r="322" spans="1:61" ht="30" customHeight="1">
      <c r="A322" s="1"/>
      <c r="B322" s="2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</row>
    <row r="323" spans="1:61" ht="30" customHeight="1">
      <c r="A323" s="1"/>
      <c r="B323" s="2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</row>
    <row r="324" spans="1:61" ht="30" customHeight="1">
      <c r="A324" s="1"/>
      <c r="B324" s="2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</row>
    <row r="325" spans="1:61" ht="30" customHeight="1">
      <c r="A325" s="1"/>
      <c r="B325" s="2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</row>
    <row r="326" spans="1:61" ht="30" customHeight="1">
      <c r="A326" s="1"/>
      <c r="B326" s="2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</row>
    <row r="327" spans="1:61" ht="30" customHeight="1">
      <c r="A327" s="1"/>
      <c r="B327" s="2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</row>
    <row r="328" spans="1:61" ht="30" customHeight="1">
      <c r="A328" s="1"/>
      <c r="B328" s="2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</row>
    <row r="329" spans="1:61" ht="30" customHeight="1">
      <c r="A329" s="1"/>
      <c r="B329" s="2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</row>
    <row r="330" spans="1:61" ht="30" customHeight="1">
      <c r="A330" s="1"/>
      <c r="B330" s="2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</row>
    <row r="331" spans="1:61" ht="30" customHeight="1">
      <c r="A331" s="1"/>
      <c r="B331" s="2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</row>
    <row r="332" spans="1:61" ht="30" customHeight="1">
      <c r="A332" s="1"/>
      <c r="B332" s="2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</row>
    <row r="333" spans="1:61" ht="30" customHeight="1">
      <c r="A333" s="1"/>
      <c r="B333" s="2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</row>
    <row r="334" spans="1:61" ht="30" customHeight="1">
      <c r="A334" s="1"/>
      <c r="B334" s="2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</row>
    <row r="335" spans="1:61" ht="30" customHeight="1">
      <c r="A335" s="1"/>
      <c r="B335" s="2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</row>
    <row r="336" spans="1:61" ht="30" customHeight="1">
      <c r="A336" s="1"/>
      <c r="B336" s="2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</row>
    <row r="337" spans="1:61" ht="30" customHeight="1">
      <c r="A337" s="1"/>
      <c r="B337" s="2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</row>
    <row r="338" spans="1:61" ht="30" customHeight="1">
      <c r="A338" s="1"/>
      <c r="B338" s="2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</row>
    <row r="339" spans="1:61" ht="30" customHeight="1">
      <c r="A339" s="1"/>
      <c r="B339" s="2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</row>
    <row r="340" spans="1:61" ht="30" customHeight="1">
      <c r="A340" s="1"/>
      <c r="B340" s="2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</row>
    <row r="341" spans="1:61" ht="30" customHeight="1">
      <c r="A341" s="1"/>
      <c r="B341" s="2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</row>
    <row r="342" spans="1:61" ht="30" customHeight="1">
      <c r="A342" s="1"/>
      <c r="B342" s="2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</row>
    <row r="343" spans="1:61" ht="30" customHeight="1">
      <c r="A343" s="1"/>
      <c r="B343" s="2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</row>
    <row r="344" spans="1:61" ht="30" customHeight="1">
      <c r="A344" s="1"/>
      <c r="B344" s="2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</row>
    <row r="345" spans="1:61" ht="30" customHeight="1">
      <c r="A345" s="1"/>
      <c r="B345" s="2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</row>
    <row r="346" spans="1:61" ht="30" customHeight="1">
      <c r="A346" s="1"/>
      <c r="B346" s="2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</row>
    <row r="347" spans="1:61" ht="30" customHeight="1">
      <c r="A347" s="1"/>
      <c r="B347" s="2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</row>
    <row r="348" spans="1:61" ht="30" customHeight="1">
      <c r="A348" s="1"/>
      <c r="B348" s="2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</row>
    <row r="349" spans="1:61" ht="30" customHeight="1">
      <c r="A349" s="1"/>
      <c r="B349" s="2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</row>
    <row r="350" spans="1:61" ht="30" customHeight="1">
      <c r="A350" s="1"/>
      <c r="B350" s="2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</row>
    <row r="351" spans="1:61" ht="30" customHeight="1">
      <c r="A351" s="1"/>
      <c r="B351" s="2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</row>
    <row r="352" spans="1:61" ht="30" customHeight="1">
      <c r="A352" s="1"/>
      <c r="B352" s="2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</row>
    <row r="353" spans="1:61" ht="30" customHeight="1">
      <c r="A353" s="1"/>
      <c r="B353" s="2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</row>
    <row r="354" spans="1:61" ht="30" customHeight="1">
      <c r="A354" s="1"/>
      <c r="B354" s="2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</row>
    <row r="355" spans="1:61" ht="30" customHeight="1">
      <c r="A355" s="1"/>
      <c r="B355" s="2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</row>
    <row r="356" spans="1:61" ht="30" customHeight="1">
      <c r="A356" s="1"/>
      <c r="B356" s="2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</row>
    <row r="357" spans="1:61" ht="30" customHeight="1">
      <c r="A357" s="1"/>
      <c r="B357" s="2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</row>
    <row r="358" spans="1:61" ht="30" customHeight="1">
      <c r="A358" s="1"/>
      <c r="B358" s="2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</row>
    <row r="359" spans="1:61" ht="30" customHeight="1">
      <c r="A359" s="1"/>
      <c r="B359" s="2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</row>
    <row r="360" spans="1:61" ht="30" customHeight="1">
      <c r="A360" s="1"/>
      <c r="B360" s="2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</row>
    <row r="361" spans="1:61" ht="30" customHeight="1">
      <c r="A361" s="1"/>
      <c r="B361" s="2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</row>
    <row r="362" spans="1:61" ht="30" customHeight="1">
      <c r="A362" s="1"/>
      <c r="B362" s="2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</row>
    <row r="363" spans="1:61" ht="30" customHeight="1">
      <c r="A363" s="1"/>
      <c r="B363" s="2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</row>
    <row r="364" spans="1:61" ht="30" customHeight="1">
      <c r="A364" s="1"/>
      <c r="B364" s="2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</row>
    <row r="365" spans="1:61" ht="30" customHeight="1">
      <c r="A365" s="1"/>
      <c r="B365" s="2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</row>
    <row r="366" spans="1:61" ht="30" customHeight="1">
      <c r="A366" s="1"/>
      <c r="B366" s="2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</row>
    <row r="367" spans="1:61" ht="30" customHeight="1">
      <c r="A367" s="1"/>
      <c r="B367" s="2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</row>
    <row r="368" spans="1:61" ht="30" customHeight="1">
      <c r="A368" s="1"/>
      <c r="B368" s="2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</row>
    <row r="369" spans="1:61" ht="30" customHeight="1">
      <c r="A369" s="1"/>
      <c r="B369" s="2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</row>
    <row r="370" spans="1:61" ht="30" customHeight="1">
      <c r="A370" s="1"/>
      <c r="B370" s="2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</row>
    <row r="371" spans="1:61" ht="30" customHeight="1">
      <c r="A371" s="1"/>
      <c r="B371" s="2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</row>
    <row r="372" spans="1:61" ht="30" customHeight="1">
      <c r="A372" s="1"/>
      <c r="B372" s="2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</row>
    <row r="373" spans="1:61" ht="30" customHeight="1">
      <c r="A373" s="1"/>
      <c r="B373" s="2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</row>
    <row r="374" spans="1:61" ht="30" customHeight="1">
      <c r="A374" s="1"/>
      <c r="B374" s="2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</row>
    <row r="375" spans="1:61" ht="30" customHeight="1">
      <c r="A375" s="1"/>
      <c r="B375" s="2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</row>
    <row r="376" spans="1:61" ht="30" customHeight="1">
      <c r="A376" s="1"/>
      <c r="B376" s="2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</row>
    <row r="377" spans="1:61" ht="30" customHeight="1">
      <c r="A377" s="1"/>
      <c r="B377" s="2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</row>
    <row r="378" spans="1:61" ht="30" customHeight="1">
      <c r="A378" s="1"/>
      <c r="B378" s="2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</row>
    <row r="379" spans="1:61" ht="30" customHeight="1">
      <c r="A379" s="1"/>
      <c r="B379" s="2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</row>
    <row r="380" spans="1:61" ht="30" customHeight="1">
      <c r="A380" s="1"/>
      <c r="B380" s="2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</row>
    <row r="381" spans="1:61" ht="30" customHeight="1">
      <c r="A381" s="1"/>
      <c r="B381" s="2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</row>
    <row r="382" spans="1:61" ht="30" customHeight="1">
      <c r="A382" s="1"/>
      <c r="B382" s="2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</row>
    <row r="383" spans="1:61" ht="30" customHeight="1">
      <c r="A383" s="1"/>
      <c r="B383" s="2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</row>
    <row r="384" spans="1:61" ht="30" customHeight="1">
      <c r="A384" s="1"/>
      <c r="B384" s="2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</row>
    <row r="385" spans="1:61" ht="30" customHeight="1">
      <c r="A385" s="1"/>
      <c r="B385" s="2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</row>
    <row r="386" spans="1:61" ht="30" customHeight="1">
      <c r="A386" s="1"/>
      <c r="B386" s="2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</row>
    <row r="387" spans="1:61" ht="30" customHeight="1">
      <c r="A387" s="1"/>
      <c r="B387" s="2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</row>
    <row r="388" spans="1:61" ht="30" customHeight="1">
      <c r="A388" s="1"/>
      <c r="B388" s="2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</row>
    <row r="389" spans="1:61" ht="30" customHeight="1">
      <c r="A389" s="1"/>
      <c r="B389" s="2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</row>
    <row r="390" spans="1:61" ht="30" customHeight="1">
      <c r="A390" s="1"/>
      <c r="B390" s="2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</row>
    <row r="391" spans="1:61" ht="30" customHeight="1">
      <c r="A391" s="1"/>
      <c r="B391" s="2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</row>
    <row r="392" spans="1:61" ht="30" customHeight="1">
      <c r="A392" s="1"/>
      <c r="B392" s="2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</row>
    <row r="393" spans="1:61" ht="30" customHeight="1">
      <c r="A393" s="1"/>
      <c r="B393" s="2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</row>
    <row r="394" spans="1:61" ht="30" customHeight="1">
      <c r="A394" s="1"/>
      <c r="B394" s="2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</row>
    <row r="395" spans="1:61" ht="30" customHeight="1">
      <c r="A395" s="1"/>
      <c r="B395" s="2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</row>
    <row r="396" spans="1:61" ht="30" customHeight="1">
      <c r="A396" s="1"/>
      <c r="B396" s="2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</row>
    <row r="397" spans="1:61" ht="30" customHeight="1">
      <c r="A397" s="1"/>
      <c r="B397" s="2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</row>
    <row r="398" spans="1:61" ht="30" customHeight="1">
      <c r="A398" s="1"/>
      <c r="B398" s="2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</row>
    <row r="399" spans="1:61" ht="30" customHeight="1">
      <c r="A399" s="1"/>
      <c r="B399" s="2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</row>
    <row r="400" spans="1:61" ht="30" customHeight="1">
      <c r="A400" s="1"/>
      <c r="B400" s="2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</row>
    <row r="401" spans="1:61" ht="30" customHeight="1">
      <c r="A401" s="1"/>
      <c r="B401" s="2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</row>
    <row r="402" spans="1:61" ht="30" customHeight="1">
      <c r="A402" s="1"/>
      <c r="B402" s="2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</row>
    <row r="403" spans="1:61" ht="30" customHeight="1">
      <c r="A403" s="1"/>
      <c r="B403" s="2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</row>
    <row r="404" spans="1:61" ht="30" customHeight="1">
      <c r="A404" s="1"/>
      <c r="B404" s="2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</row>
    <row r="405" spans="1:61" ht="30" customHeight="1">
      <c r="A405" s="1"/>
      <c r="B405" s="2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</row>
    <row r="406" spans="1:61" ht="30" customHeight="1">
      <c r="A406" s="1"/>
      <c r="B406" s="2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</row>
    <row r="407" spans="1:61" ht="30" customHeight="1">
      <c r="A407" s="1"/>
      <c r="B407" s="2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</row>
    <row r="408" spans="1:61" ht="30" customHeight="1">
      <c r="A408" s="1"/>
      <c r="B408" s="2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</row>
    <row r="409" spans="1:61" ht="30" customHeight="1">
      <c r="A409" s="1"/>
      <c r="B409" s="2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</row>
    <row r="410" spans="1:61" ht="30" customHeight="1">
      <c r="A410" s="1"/>
      <c r="B410" s="2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</row>
    <row r="411" spans="1:61" ht="30" customHeight="1">
      <c r="A411" s="1"/>
      <c r="B411" s="2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</row>
    <row r="412" spans="1:61" ht="30" customHeight="1">
      <c r="A412" s="1"/>
      <c r="B412" s="2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</row>
    <row r="413" spans="1:61" ht="30" customHeight="1">
      <c r="A413" s="1"/>
      <c r="B413" s="2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</row>
    <row r="414" spans="1:61" ht="30" customHeight="1">
      <c r="A414" s="1"/>
      <c r="B414" s="2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</row>
    <row r="415" spans="1:61" ht="30" customHeight="1">
      <c r="A415" s="1"/>
      <c r="B415" s="2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</row>
    <row r="416" spans="1:61" ht="30" customHeight="1">
      <c r="A416" s="1"/>
      <c r="B416" s="2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</row>
    <row r="417" spans="1:61" ht="30" customHeight="1">
      <c r="A417" s="1"/>
      <c r="B417" s="2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</row>
    <row r="418" spans="1:61" ht="30" customHeight="1">
      <c r="A418" s="1"/>
      <c r="B418" s="2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</row>
    <row r="419" spans="1:61" ht="30" customHeight="1">
      <c r="A419" s="1"/>
      <c r="B419" s="2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</row>
    <row r="420" spans="1:61" ht="30" customHeight="1">
      <c r="A420" s="1"/>
      <c r="B420" s="2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</row>
    <row r="421" spans="1:61" ht="30" customHeight="1">
      <c r="A421" s="1"/>
      <c r="B421" s="2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</row>
    <row r="422" spans="1:61" ht="30" customHeight="1">
      <c r="A422" s="1"/>
      <c r="B422" s="2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</row>
    <row r="423" spans="1:61" ht="30" customHeight="1">
      <c r="A423" s="1"/>
      <c r="B423" s="2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</row>
    <row r="424" spans="1:61" ht="30" customHeight="1">
      <c r="A424" s="1"/>
      <c r="B424" s="2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</row>
    <row r="425" spans="1:61" ht="30" customHeight="1">
      <c r="A425" s="1"/>
      <c r="B425" s="2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</row>
    <row r="426" spans="1:61" ht="30" customHeight="1">
      <c r="A426" s="1"/>
      <c r="B426" s="2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</row>
    <row r="427" spans="1:61" ht="30" customHeight="1">
      <c r="A427" s="1"/>
      <c r="B427" s="2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</row>
    <row r="428" spans="1:61" ht="30" customHeight="1">
      <c r="A428" s="1"/>
      <c r="B428" s="2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</row>
    <row r="429" spans="1:61" ht="30" customHeight="1">
      <c r="A429" s="1"/>
      <c r="B429" s="2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</row>
    <row r="430" spans="1:61" ht="30" customHeight="1">
      <c r="A430" s="1"/>
      <c r="B430" s="2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</row>
    <row r="431" spans="1:61" ht="30" customHeight="1">
      <c r="A431" s="1"/>
      <c r="B431" s="2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</row>
    <row r="432" spans="1:61" ht="30" customHeight="1">
      <c r="A432" s="1"/>
      <c r="B432" s="2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</row>
    <row r="433" spans="1:61" ht="30" customHeight="1">
      <c r="A433" s="1"/>
      <c r="B433" s="2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</row>
    <row r="434" spans="1:61" ht="30" customHeight="1">
      <c r="A434" s="1"/>
      <c r="B434" s="2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</row>
    <row r="435" spans="1:61" ht="30" customHeight="1">
      <c r="A435" s="1"/>
      <c r="B435" s="2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</row>
    <row r="436" spans="1:61" ht="30" customHeight="1">
      <c r="A436" s="1"/>
      <c r="B436" s="2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</row>
    <row r="437" spans="1:61" ht="30" customHeight="1">
      <c r="A437" s="1"/>
      <c r="B437" s="2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</row>
    <row r="438" spans="1:61" ht="30" customHeight="1">
      <c r="A438" s="1"/>
      <c r="B438" s="2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</row>
    <row r="439" spans="1:61" ht="30" customHeight="1">
      <c r="A439" s="1"/>
      <c r="B439" s="2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</row>
    <row r="440" spans="1:61" ht="30" customHeight="1">
      <c r="A440" s="1"/>
      <c r="B440" s="2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</row>
    <row r="441" spans="1:61" ht="30" customHeight="1">
      <c r="A441" s="1"/>
      <c r="B441" s="2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</row>
    <row r="442" spans="1:61" ht="30" customHeight="1">
      <c r="A442" s="1"/>
      <c r="B442" s="2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</row>
    <row r="443" spans="1:61" ht="30" customHeight="1">
      <c r="A443" s="1"/>
      <c r="B443" s="2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</row>
    <row r="444" spans="1:61" ht="30" customHeight="1">
      <c r="A444" s="1"/>
      <c r="B444" s="2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</row>
    <row r="445" spans="1:61" ht="30" customHeight="1">
      <c r="A445" s="1"/>
      <c r="B445" s="2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</row>
    <row r="446" spans="1:61" ht="30" customHeight="1">
      <c r="A446" s="1"/>
      <c r="B446" s="2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</row>
    <row r="447" spans="1:61" ht="30" customHeight="1">
      <c r="A447" s="1"/>
      <c r="B447" s="2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</row>
    <row r="448" spans="1:61" ht="30" customHeight="1">
      <c r="A448" s="1"/>
      <c r="B448" s="2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</row>
    <row r="449" spans="1:61" ht="30" customHeight="1">
      <c r="A449" s="1"/>
      <c r="B449" s="2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</row>
    <row r="450" spans="1:61" ht="30" customHeight="1">
      <c r="A450" s="1"/>
      <c r="B450" s="2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</row>
    <row r="451" spans="1:61" ht="30" customHeight="1">
      <c r="A451" s="1"/>
      <c r="B451" s="2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</row>
    <row r="452" spans="1:61" ht="30" customHeight="1">
      <c r="A452" s="1"/>
      <c r="B452" s="2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</row>
    <row r="453" spans="1:61" ht="30" customHeight="1">
      <c r="A453" s="1"/>
      <c r="B453" s="2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</row>
    <row r="454" spans="1:61" ht="30" customHeight="1">
      <c r="A454" s="1"/>
      <c r="B454" s="2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</row>
    <row r="455" spans="1:61" ht="30" customHeight="1">
      <c r="A455" s="1"/>
      <c r="B455" s="2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</row>
    <row r="456" spans="1:61" ht="30" customHeight="1">
      <c r="A456" s="1"/>
      <c r="B456" s="2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</row>
    <row r="457" spans="1:61" ht="30" customHeight="1">
      <c r="A457" s="1"/>
      <c r="B457" s="2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</row>
    <row r="458" spans="1:61" ht="30" customHeight="1">
      <c r="A458" s="1"/>
      <c r="B458" s="2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</row>
    <row r="459" spans="1:61" ht="30" customHeight="1">
      <c r="A459" s="1"/>
      <c r="B459" s="2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</row>
    <row r="460" spans="1:61" ht="30" customHeight="1">
      <c r="A460" s="1"/>
      <c r="B460" s="2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</row>
    <row r="461" spans="1:61" ht="30" customHeight="1">
      <c r="A461" s="1"/>
      <c r="B461" s="2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</row>
    <row r="462" spans="1:61" ht="30" customHeight="1">
      <c r="A462" s="1"/>
      <c r="B462" s="2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</row>
    <row r="463" spans="1:61" ht="30" customHeight="1">
      <c r="A463" s="1"/>
      <c r="B463" s="2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</row>
    <row r="464" spans="1:61" ht="30" customHeight="1">
      <c r="A464" s="1"/>
      <c r="B464" s="2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</row>
    <row r="465" spans="1:61" ht="30" customHeight="1">
      <c r="A465" s="1"/>
      <c r="B465" s="2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</row>
    <row r="466" spans="1:61" ht="30" customHeight="1">
      <c r="A466" s="1"/>
      <c r="B466" s="2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</row>
    <row r="467" spans="1:61" ht="30" customHeight="1">
      <c r="A467" s="1"/>
      <c r="B467" s="2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</row>
    <row r="468" spans="1:61" ht="30" customHeight="1">
      <c r="A468" s="1"/>
      <c r="B468" s="2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</row>
    <row r="469" spans="1:61" ht="30" customHeight="1">
      <c r="A469" s="1"/>
      <c r="B469" s="2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</row>
    <row r="470" spans="1:61" ht="30" customHeight="1">
      <c r="A470" s="1"/>
      <c r="B470" s="2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</row>
    <row r="471" spans="1:61" ht="30" customHeight="1">
      <c r="A471" s="1"/>
      <c r="B471" s="2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</row>
    <row r="472" spans="1:61" ht="30" customHeight="1">
      <c r="A472" s="1"/>
      <c r="B472" s="2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</row>
    <row r="473" spans="1:61" ht="30" customHeight="1">
      <c r="A473" s="1"/>
      <c r="B473" s="2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</row>
    <row r="474" spans="1:61" ht="30" customHeight="1">
      <c r="A474" s="1"/>
      <c r="B474" s="2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</row>
    <row r="475" spans="1:61" ht="30" customHeight="1">
      <c r="A475" s="1"/>
      <c r="B475" s="2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</row>
    <row r="476" spans="1:61" ht="30" customHeight="1">
      <c r="A476" s="1"/>
      <c r="B476" s="2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</row>
    <row r="477" spans="1:61" ht="30" customHeight="1">
      <c r="A477" s="1"/>
      <c r="B477" s="2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</row>
    <row r="478" spans="1:61" ht="30" customHeight="1">
      <c r="A478" s="1"/>
      <c r="B478" s="2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</row>
    <row r="479" spans="1:61" ht="30" customHeight="1">
      <c r="A479" s="1"/>
      <c r="B479" s="2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</row>
    <row r="480" spans="1:61" ht="30" customHeight="1">
      <c r="A480" s="1"/>
      <c r="B480" s="2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</row>
    <row r="481" spans="1:61" ht="30" customHeight="1">
      <c r="A481" s="1"/>
      <c r="B481" s="2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</row>
    <row r="482" spans="1:61" ht="30" customHeight="1">
      <c r="A482" s="1"/>
      <c r="B482" s="2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</row>
    <row r="483" spans="1:61" ht="30" customHeight="1">
      <c r="A483" s="1"/>
      <c r="B483" s="2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</row>
    <row r="484" spans="1:61" ht="30" customHeight="1">
      <c r="A484" s="1"/>
      <c r="B484" s="2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</row>
    <row r="485" spans="1:61" ht="30" customHeight="1">
      <c r="A485" s="1"/>
      <c r="B485" s="2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</row>
    <row r="486" spans="1:61" ht="30" customHeight="1">
      <c r="A486" s="1"/>
      <c r="B486" s="2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</row>
    <row r="487" spans="1:61" ht="30" customHeight="1">
      <c r="A487" s="1"/>
      <c r="B487" s="2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</row>
    <row r="488" spans="1:61" ht="30" customHeight="1">
      <c r="A488" s="1"/>
      <c r="B488" s="2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</row>
    <row r="489" spans="1:61" ht="30" customHeight="1">
      <c r="A489" s="1"/>
      <c r="B489" s="2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</row>
    <row r="490" spans="1:61" ht="30" customHeight="1">
      <c r="A490" s="1"/>
      <c r="B490" s="2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</row>
    <row r="491" spans="1:61" ht="30" customHeight="1">
      <c r="A491" s="1"/>
      <c r="B491" s="2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</row>
    <row r="492" spans="1:61" ht="30" customHeight="1">
      <c r="A492" s="1"/>
      <c r="B492" s="2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</row>
    <row r="493" spans="1:61" ht="30" customHeight="1">
      <c r="A493" s="1"/>
      <c r="B493" s="2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</row>
    <row r="494" spans="1:61" ht="30" customHeight="1">
      <c r="A494" s="1"/>
      <c r="B494" s="2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</row>
    <row r="495" spans="1:61" ht="30" customHeight="1">
      <c r="A495" s="1"/>
      <c r="B495" s="2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</row>
    <row r="496" spans="1:61" ht="30" customHeight="1">
      <c r="A496" s="1"/>
      <c r="B496" s="2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</row>
    <row r="497" spans="1:61" ht="30" customHeight="1">
      <c r="A497" s="1"/>
      <c r="B497" s="2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</row>
    <row r="498" spans="1:61" ht="30" customHeight="1">
      <c r="A498" s="1"/>
      <c r="B498" s="2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</row>
    <row r="499" spans="1:61" ht="30" customHeight="1">
      <c r="A499" s="1"/>
      <c r="B499" s="2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</row>
    <row r="500" spans="1:61" ht="30" customHeight="1">
      <c r="A500" s="1"/>
      <c r="B500" s="2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</row>
    <row r="501" spans="1:61" ht="30" customHeight="1">
      <c r="A501" s="1"/>
      <c r="B501" s="2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</row>
    <row r="502" spans="1:61" ht="30" customHeight="1">
      <c r="A502" s="1"/>
      <c r="B502" s="2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</row>
    <row r="503" spans="1:61" ht="30" customHeight="1">
      <c r="A503" s="1"/>
      <c r="B503" s="2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</row>
    <row r="504" spans="1:61" ht="30" customHeight="1">
      <c r="A504" s="1"/>
      <c r="B504" s="2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</row>
    <row r="505" spans="1:61" ht="30" customHeight="1">
      <c r="A505" s="1"/>
      <c r="B505" s="2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</row>
    <row r="506" spans="1:61" ht="30" customHeight="1">
      <c r="A506" s="1"/>
      <c r="B506" s="2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</row>
    <row r="507" spans="1:61" ht="30" customHeight="1">
      <c r="A507" s="1"/>
      <c r="B507" s="2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</row>
    <row r="508" spans="1:61" ht="30" customHeight="1">
      <c r="A508" s="1"/>
      <c r="B508" s="2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</row>
    <row r="509" spans="1:61" ht="30" customHeight="1">
      <c r="A509" s="1"/>
      <c r="B509" s="2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</row>
    <row r="510" spans="1:61" ht="30" customHeight="1">
      <c r="A510" s="1"/>
      <c r="B510" s="2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</row>
    <row r="511" spans="1:61" ht="30" customHeight="1">
      <c r="A511" s="1"/>
      <c r="B511" s="2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</row>
    <row r="512" spans="1:61" ht="30" customHeight="1">
      <c r="A512" s="1"/>
      <c r="B512" s="2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</row>
    <row r="513" spans="1:61" ht="30" customHeight="1">
      <c r="A513" s="1"/>
      <c r="B513" s="2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</row>
    <row r="514" spans="1:61" ht="30" customHeight="1">
      <c r="A514" s="1"/>
      <c r="B514" s="2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</row>
    <row r="515" spans="1:61" ht="30" customHeight="1">
      <c r="A515" s="1"/>
      <c r="B515" s="2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</row>
    <row r="516" spans="1:61" ht="30" customHeight="1">
      <c r="A516" s="1"/>
      <c r="B516" s="2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</row>
    <row r="517" spans="1:61" ht="30" customHeight="1">
      <c r="A517" s="1"/>
      <c r="B517" s="2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</row>
    <row r="518" spans="1:61" ht="30" customHeight="1">
      <c r="A518" s="1"/>
      <c r="B518" s="2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</row>
    <row r="519" spans="1:61" ht="30" customHeight="1">
      <c r="A519" s="1"/>
      <c r="B519" s="2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</row>
    <row r="520" spans="1:61" ht="30" customHeight="1">
      <c r="A520" s="1"/>
      <c r="B520" s="2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</row>
    <row r="521" spans="1:61" ht="30" customHeight="1">
      <c r="A521" s="1"/>
      <c r="B521" s="2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</row>
    <row r="522" spans="1:61" ht="30" customHeight="1">
      <c r="A522" s="1"/>
      <c r="B522" s="2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</row>
    <row r="523" spans="1:61" ht="30" customHeight="1">
      <c r="A523" s="1"/>
      <c r="B523" s="2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</row>
    <row r="524" spans="1:61" ht="30" customHeight="1">
      <c r="A524" s="1"/>
      <c r="B524" s="2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</row>
    <row r="525" spans="1:61" ht="30" customHeight="1">
      <c r="A525" s="1"/>
      <c r="B525" s="2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</row>
    <row r="526" spans="1:61" ht="30" customHeight="1">
      <c r="A526" s="1"/>
      <c r="B526" s="2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</row>
    <row r="527" spans="1:61" ht="30" customHeight="1">
      <c r="A527" s="1"/>
      <c r="B527" s="2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</row>
    <row r="528" spans="1:61" ht="30" customHeight="1">
      <c r="A528" s="1"/>
      <c r="B528" s="2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</row>
    <row r="529" spans="1:61" ht="30" customHeight="1">
      <c r="A529" s="1"/>
      <c r="B529" s="2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</row>
    <row r="530" spans="1:61" ht="30" customHeight="1">
      <c r="A530" s="1"/>
      <c r="B530" s="2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</row>
    <row r="531" spans="1:61" ht="30" customHeight="1">
      <c r="A531" s="1"/>
      <c r="B531" s="2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</row>
    <row r="532" spans="1:61" ht="30" customHeight="1">
      <c r="A532" s="1"/>
      <c r="B532" s="2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</row>
    <row r="533" spans="1:61" ht="30" customHeight="1">
      <c r="A533" s="1"/>
      <c r="B533" s="2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</row>
    <row r="534" spans="1:61" ht="30" customHeight="1">
      <c r="A534" s="1"/>
      <c r="B534" s="2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</row>
    <row r="535" spans="1:61" ht="30" customHeight="1">
      <c r="A535" s="1"/>
      <c r="B535" s="2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</row>
    <row r="536" spans="1:61" ht="30" customHeight="1">
      <c r="A536" s="1"/>
      <c r="B536" s="2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</row>
    <row r="537" spans="1:61" ht="30" customHeight="1">
      <c r="A537" s="1"/>
      <c r="B537" s="2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</row>
    <row r="538" spans="1:61" ht="30" customHeight="1">
      <c r="A538" s="1"/>
      <c r="B538" s="2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</row>
    <row r="539" spans="1:61" ht="30" customHeight="1">
      <c r="A539" s="1"/>
      <c r="B539" s="2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</row>
    <row r="540" spans="1:61" ht="30" customHeight="1">
      <c r="A540" s="1"/>
      <c r="B540" s="2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</row>
    <row r="541" spans="1:61" ht="30" customHeight="1">
      <c r="A541" s="1"/>
      <c r="B541" s="2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</row>
    <row r="542" spans="1:61" ht="30" customHeight="1">
      <c r="A542" s="1"/>
      <c r="B542" s="2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</row>
    <row r="543" spans="1:61" ht="30" customHeight="1">
      <c r="A543" s="1"/>
      <c r="B543" s="2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</row>
    <row r="544" spans="1:61" ht="30" customHeight="1">
      <c r="A544" s="1"/>
      <c r="B544" s="2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</row>
    <row r="545" spans="1:61" ht="30" customHeight="1">
      <c r="A545" s="1"/>
      <c r="B545" s="2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</row>
    <row r="546" spans="1:61" ht="30" customHeight="1">
      <c r="A546" s="1"/>
      <c r="B546" s="2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</row>
    <row r="547" spans="1:61" ht="30" customHeight="1">
      <c r="A547" s="1"/>
      <c r="B547" s="2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</row>
    <row r="548" spans="1:61" ht="30" customHeight="1">
      <c r="A548" s="1"/>
      <c r="B548" s="2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</row>
    <row r="549" spans="1:61" ht="30" customHeight="1">
      <c r="A549" s="1"/>
      <c r="B549" s="2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</row>
    <row r="550" spans="1:61" ht="30" customHeight="1">
      <c r="A550" s="1"/>
      <c r="B550" s="2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</row>
    <row r="551" spans="1:61" ht="30" customHeight="1">
      <c r="A551" s="1"/>
      <c r="B551" s="2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</row>
    <row r="552" spans="1:61" ht="30" customHeight="1">
      <c r="A552" s="1"/>
      <c r="B552" s="2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</row>
    <row r="553" spans="1:61" ht="30" customHeight="1">
      <c r="A553" s="1"/>
      <c r="B553" s="2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</row>
    <row r="554" spans="1:61" ht="30" customHeight="1">
      <c r="A554" s="1"/>
      <c r="B554" s="2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</row>
    <row r="555" spans="1:61" ht="30" customHeight="1">
      <c r="A555" s="1"/>
      <c r="B555" s="2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</row>
    <row r="556" spans="1:61" ht="30" customHeight="1">
      <c r="A556" s="1"/>
      <c r="B556" s="2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</row>
    <row r="557" spans="1:61" ht="30" customHeight="1">
      <c r="A557" s="1"/>
      <c r="B557" s="2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</row>
    <row r="558" spans="1:61" ht="30" customHeight="1">
      <c r="A558" s="1"/>
      <c r="B558" s="2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</row>
    <row r="559" spans="1:61" ht="30" customHeight="1">
      <c r="A559" s="1"/>
      <c r="B559" s="2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</row>
    <row r="560" spans="1:61" ht="30" customHeight="1">
      <c r="A560" s="1"/>
      <c r="B560" s="2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</row>
    <row r="561" spans="1:61" ht="30" customHeight="1">
      <c r="A561" s="1"/>
      <c r="B561" s="2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</row>
    <row r="562" spans="1:61" ht="30" customHeight="1">
      <c r="A562" s="1"/>
      <c r="B562" s="2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</row>
    <row r="563" spans="1:61" ht="30" customHeight="1">
      <c r="A563" s="1"/>
      <c r="B563" s="2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</row>
    <row r="564" spans="1:61" ht="30" customHeight="1">
      <c r="A564" s="1"/>
      <c r="B564" s="2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</row>
    <row r="565" spans="1:61" ht="30" customHeight="1">
      <c r="A565" s="1"/>
      <c r="B565" s="2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</row>
    <row r="566" spans="1:61" ht="30" customHeight="1">
      <c r="A566" s="1"/>
      <c r="B566" s="2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</row>
    <row r="567" spans="1:61" ht="30" customHeight="1">
      <c r="A567" s="1"/>
      <c r="B567" s="2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</row>
    <row r="568" spans="1:61" ht="30" customHeight="1">
      <c r="A568" s="1"/>
      <c r="B568" s="2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</row>
    <row r="569" spans="1:61" ht="30" customHeight="1">
      <c r="A569" s="1"/>
      <c r="B569" s="2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</row>
    <row r="570" spans="1:61" ht="30" customHeight="1">
      <c r="A570" s="1"/>
      <c r="B570" s="2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</row>
    <row r="571" spans="1:61" ht="30" customHeight="1">
      <c r="A571" s="1"/>
      <c r="B571" s="2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</row>
    <row r="572" spans="1:61" ht="30" customHeight="1">
      <c r="A572" s="1"/>
      <c r="B572" s="2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</row>
    <row r="573" spans="1:61" ht="30" customHeight="1">
      <c r="A573" s="1"/>
      <c r="B573" s="2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</row>
    <row r="574" spans="1:61" ht="30" customHeight="1">
      <c r="A574" s="1"/>
      <c r="B574" s="2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</row>
    <row r="575" spans="1:61" ht="30" customHeight="1">
      <c r="A575" s="1"/>
      <c r="B575" s="2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</row>
    <row r="576" spans="1:61" ht="30" customHeight="1">
      <c r="A576" s="1"/>
      <c r="B576" s="2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</row>
    <row r="577" spans="1:61" ht="30" customHeight="1">
      <c r="A577" s="1"/>
      <c r="B577" s="2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</row>
    <row r="578" spans="1:61" ht="30" customHeight="1">
      <c r="A578" s="1"/>
      <c r="B578" s="2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</row>
    <row r="579" spans="1:61" ht="30" customHeight="1">
      <c r="A579" s="1"/>
      <c r="B579" s="2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</row>
    <row r="580" spans="1:61" ht="30" customHeight="1">
      <c r="A580" s="1"/>
      <c r="B580" s="2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</row>
    <row r="581" spans="1:61" ht="30" customHeight="1">
      <c r="A581" s="1"/>
      <c r="B581" s="2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</row>
    <row r="582" spans="1:61" ht="30" customHeight="1">
      <c r="A582" s="1"/>
      <c r="B582" s="2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</row>
    <row r="583" spans="1:61" ht="30" customHeight="1">
      <c r="A583" s="1"/>
      <c r="B583" s="2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</row>
    <row r="584" spans="1:61" ht="30" customHeight="1">
      <c r="A584" s="1"/>
      <c r="B584" s="2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</row>
    <row r="585" spans="1:61" ht="30" customHeight="1">
      <c r="A585" s="1"/>
      <c r="B585" s="2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</row>
    <row r="586" spans="1:61" ht="30" customHeight="1">
      <c r="A586" s="1"/>
      <c r="B586" s="2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</row>
    <row r="587" spans="1:61" ht="30" customHeight="1">
      <c r="A587" s="1"/>
      <c r="B587" s="2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</row>
    <row r="588" spans="1:61" ht="30" customHeight="1">
      <c r="A588" s="1"/>
      <c r="B588" s="2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</row>
    <row r="589" spans="1:61" ht="30" customHeight="1">
      <c r="A589" s="1"/>
      <c r="B589" s="2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</row>
    <row r="590" spans="1:61" ht="30" customHeight="1">
      <c r="A590" s="1"/>
      <c r="B590" s="2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</row>
    <row r="591" spans="1:61" ht="30" customHeight="1">
      <c r="A591" s="1"/>
      <c r="B591" s="2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</row>
    <row r="592" spans="1:61" ht="30" customHeight="1">
      <c r="A592" s="1"/>
      <c r="B592" s="2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</row>
    <row r="593" spans="1:61" ht="30" customHeight="1">
      <c r="A593" s="1"/>
      <c r="B593" s="2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</row>
    <row r="594" spans="1:61" ht="30" customHeight="1">
      <c r="A594" s="1"/>
      <c r="B594" s="2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</row>
    <row r="595" spans="1:61" ht="30" customHeight="1">
      <c r="A595" s="1"/>
      <c r="B595" s="2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</row>
    <row r="596" spans="1:61" ht="30" customHeight="1">
      <c r="A596" s="1"/>
      <c r="B596" s="2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</row>
    <row r="597" spans="1:61" ht="30" customHeight="1">
      <c r="A597" s="1"/>
      <c r="B597" s="2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</row>
    <row r="598" spans="1:61" ht="30" customHeight="1">
      <c r="A598" s="1"/>
      <c r="B598" s="2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</row>
    <row r="599" spans="1:61" ht="30" customHeight="1">
      <c r="A599" s="1"/>
      <c r="B599" s="2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</row>
    <row r="600" spans="1:61" ht="30" customHeight="1">
      <c r="A600" s="1"/>
      <c r="B600" s="2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</row>
    <row r="601" spans="1:61" ht="30" customHeight="1">
      <c r="A601" s="1"/>
      <c r="B601" s="2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</row>
    <row r="602" spans="1:61" ht="30" customHeight="1">
      <c r="A602" s="1"/>
      <c r="B602" s="2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</row>
    <row r="603" spans="1:61" ht="30" customHeight="1">
      <c r="A603" s="1"/>
      <c r="B603" s="2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</row>
    <row r="604" spans="1:61" ht="30" customHeight="1">
      <c r="A604" s="1"/>
      <c r="B604" s="2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</row>
    <row r="605" spans="1:61" ht="30" customHeight="1">
      <c r="A605" s="1"/>
      <c r="B605" s="2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</row>
    <row r="606" spans="1:61" ht="30" customHeight="1">
      <c r="A606" s="1"/>
      <c r="B606" s="2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</row>
    <row r="607" spans="1:61" ht="30" customHeight="1">
      <c r="A607" s="1"/>
      <c r="B607" s="2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</row>
    <row r="608" spans="1:61" ht="30" customHeight="1">
      <c r="A608" s="1"/>
      <c r="B608" s="2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</row>
    <row r="609" spans="1:61" ht="30" customHeight="1">
      <c r="A609" s="1"/>
      <c r="B609" s="2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</row>
    <row r="610" spans="1:61" ht="30" customHeight="1">
      <c r="A610" s="1"/>
      <c r="B610" s="2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</row>
    <row r="611" spans="1:61" ht="30" customHeight="1">
      <c r="A611" s="1"/>
      <c r="B611" s="2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</row>
    <row r="612" spans="1:61" ht="30" customHeight="1">
      <c r="A612" s="1"/>
      <c r="B612" s="2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</row>
    <row r="613" spans="1:61" ht="30" customHeight="1">
      <c r="A613" s="1"/>
      <c r="B613" s="2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</row>
    <row r="614" spans="1:61" ht="30" customHeight="1">
      <c r="A614" s="1"/>
      <c r="B614" s="2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</row>
    <row r="615" spans="1:61" ht="30" customHeight="1">
      <c r="A615" s="1"/>
      <c r="B615" s="2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</row>
    <row r="616" spans="1:61" ht="30" customHeight="1">
      <c r="A616" s="1"/>
      <c r="B616" s="2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</row>
    <row r="617" spans="1:61" ht="30" customHeight="1">
      <c r="A617" s="1"/>
      <c r="B617" s="2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</row>
    <row r="618" spans="1:61" ht="30" customHeight="1">
      <c r="A618" s="1"/>
      <c r="B618" s="2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</row>
    <row r="619" spans="1:61" ht="30" customHeight="1">
      <c r="A619" s="1"/>
      <c r="B619" s="2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</row>
    <row r="620" spans="1:61" ht="30" customHeight="1">
      <c r="A620" s="1"/>
      <c r="B620" s="2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</row>
    <row r="621" spans="1:61" ht="30" customHeight="1">
      <c r="A621" s="1"/>
      <c r="B621" s="2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</row>
    <row r="622" spans="1:61" ht="30" customHeight="1">
      <c r="A622" s="1"/>
      <c r="B622" s="2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</row>
    <row r="623" spans="1:61" ht="30" customHeight="1">
      <c r="A623" s="1"/>
      <c r="B623" s="2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</row>
    <row r="624" spans="1:61" ht="30" customHeight="1">
      <c r="A624" s="1"/>
      <c r="B624" s="2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</row>
    <row r="625" spans="1:61" ht="30" customHeight="1">
      <c r="A625" s="1"/>
      <c r="B625" s="2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</row>
    <row r="626" spans="1:61" ht="30" customHeight="1">
      <c r="A626" s="1"/>
      <c r="B626" s="2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</row>
    <row r="627" spans="1:61" ht="30" customHeight="1">
      <c r="A627" s="1"/>
      <c r="B627" s="2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</row>
    <row r="628" spans="1:61" ht="30" customHeight="1">
      <c r="A628" s="1"/>
      <c r="B628" s="2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</row>
    <row r="629" spans="1:61" ht="30" customHeight="1">
      <c r="A629" s="1"/>
      <c r="B629" s="2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</row>
    <row r="630" spans="1:61" ht="30" customHeight="1">
      <c r="A630" s="1"/>
      <c r="B630" s="2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</row>
    <row r="631" spans="1:61" ht="30" customHeight="1">
      <c r="A631" s="1"/>
      <c r="B631" s="2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</row>
    <row r="632" spans="1:61" ht="30" customHeight="1">
      <c r="A632" s="1"/>
      <c r="B632" s="2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</row>
    <row r="633" spans="1:61" ht="30" customHeight="1">
      <c r="A633" s="1"/>
      <c r="B633" s="2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</row>
    <row r="634" spans="1:61" ht="30" customHeight="1">
      <c r="A634" s="1"/>
      <c r="B634" s="2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</row>
    <row r="635" spans="1:61" ht="30" customHeight="1">
      <c r="A635" s="1"/>
      <c r="B635" s="2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</row>
    <row r="636" spans="1:61" ht="30" customHeight="1">
      <c r="A636" s="1"/>
      <c r="B636" s="2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</row>
    <row r="637" spans="1:61" ht="30" customHeight="1">
      <c r="A637" s="1"/>
      <c r="B637" s="2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</row>
    <row r="638" spans="1:61" ht="30" customHeight="1">
      <c r="A638" s="1"/>
      <c r="B638" s="2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</row>
    <row r="639" spans="1:61" ht="30" customHeight="1">
      <c r="A639" s="1"/>
      <c r="B639" s="2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</row>
    <row r="640" spans="1:61" ht="30" customHeight="1">
      <c r="A640" s="1"/>
      <c r="B640" s="2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</row>
    <row r="641" spans="1:61" ht="30" customHeight="1">
      <c r="A641" s="1"/>
      <c r="B641" s="2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</row>
    <row r="642" spans="1:61" ht="30" customHeight="1">
      <c r="A642" s="1"/>
      <c r="B642" s="2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</row>
    <row r="643" spans="1:61" ht="30" customHeight="1">
      <c r="A643" s="1"/>
      <c r="B643" s="2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</row>
    <row r="644" spans="1:61" ht="30" customHeight="1">
      <c r="A644" s="1"/>
      <c r="B644" s="2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</row>
    <row r="645" spans="1:61" ht="30" customHeight="1">
      <c r="A645" s="1"/>
      <c r="B645" s="2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</row>
    <row r="646" spans="1:61" ht="30" customHeight="1">
      <c r="A646" s="1"/>
      <c r="B646" s="2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</row>
    <row r="647" spans="1:61" ht="30" customHeight="1">
      <c r="A647" s="1"/>
      <c r="B647" s="2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</row>
    <row r="648" spans="1:61" ht="30" customHeight="1">
      <c r="A648" s="1"/>
      <c r="B648" s="2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</row>
    <row r="649" spans="1:61" ht="30" customHeight="1">
      <c r="A649" s="1"/>
      <c r="B649" s="2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</row>
    <row r="650" spans="1:61" ht="30" customHeight="1">
      <c r="A650" s="1"/>
      <c r="B650" s="2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</row>
    <row r="651" spans="1:61" ht="30" customHeight="1">
      <c r="A651" s="1"/>
      <c r="B651" s="2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</row>
    <row r="652" spans="1:61" ht="30" customHeight="1">
      <c r="A652" s="1"/>
      <c r="B652" s="2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</row>
    <row r="653" spans="1:61" ht="30" customHeight="1">
      <c r="A653" s="1"/>
      <c r="B653" s="2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</row>
    <row r="654" spans="1:61" ht="30" customHeight="1">
      <c r="A654" s="1"/>
      <c r="B654" s="2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</row>
    <row r="655" spans="1:61" ht="30" customHeight="1">
      <c r="A655" s="1"/>
      <c r="B655" s="2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</row>
    <row r="656" spans="1:61" ht="30" customHeight="1">
      <c r="A656" s="1"/>
      <c r="B656" s="2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</row>
    <row r="657" spans="1:61" ht="30" customHeight="1">
      <c r="A657" s="1"/>
      <c r="B657" s="2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</row>
    <row r="658" spans="1:61" ht="30" customHeight="1">
      <c r="A658" s="1"/>
      <c r="B658" s="2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</row>
    <row r="659" spans="1:61" ht="30" customHeight="1">
      <c r="A659" s="1"/>
      <c r="B659" s="2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</row>
    <row r="660" spans="1:61" ht="30" customHeight="1">
      <c r="A660" s="1"/>
      <c r="B660" s="2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</row>
    <row r="661" spans="1:61" ht="30" customHeight="1">
      <c r="A661" s="1"/>
      <c r="B661" s="2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</row>
    <row r="662" spans="1:61" ht="30" customHeight="1">
      <c r="A662" s="1"/>
      <c r="B662" s="2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</row>
    <row r="663" spans="1:61" ht="30" customHeight="1">
      <c r="A663" s="1"/>
      <c r="B663" s="2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</row>
    <row r="664" spans="1:61" ht="30" customHeight="1">
      <c r="A664" s="1"/>
      <c r="B664" s="2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</row>
    <row r="665" spans="1:61" ht="30" customHeight="1">
      <c r="A665" s="1"/>
      <c r="B665" s="2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</row>
    <row r="666" spans="1:61" ht="30" customHeight="1">
      <c r="A666" s="1"/>
      <c r="B666" s="2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</row>
    <row r="667" spans="1:61" ht="30" customHeight="1">
      <c r="A667" s="1"/>
      <c r="B667" s="2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</row>
    <row r="668" spans="1:61" ht="30" customHeight="1">
      <c r="A668" s="1"/>
      <c r="B668" s="2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</row>
    <row r="669" spans="1:61" ht="30" customHeight="1">
      <c r="A669" s="1"/>
      <c r="B669" s="2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</row>
    <row r="670" spans="1:61" ht="30" customHeight="1">
      <c r="A670" s="1"/>
      <c r="B670" s="2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</row>
    <row r="671" spans="1:61" ht="30" customHeight="1">
      <c r="A671" s="1"/>
      <c r="B671" s="2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</row>
    <row r="672" spans="1:61" ht="30" customHeight="1">
      <c r="A672" s="1"/>
      <c r="B672" s="2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</row>
    <row r="673" spans="1:61" ht="30" customHeight="1">
      <c r="A673" s="1"/>
      <c r="B673" s="2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</row>
    <row r="674" spans="1:61" ht="30" customHeight="1">
      <c r="A674" s="1"/>
      <c r="B674" s="2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</row>
    <row r="675" spans="1:61" ht="30" customHeight="1">
      <c r="A675" s="1"/>
      <c r="B675" s="2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</row>
    <row r="676" spans="1:61" ht="30" customHeight="1">
      <c r="A676" s="1"/>
      <c r="B676" s="2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</row>
    <row r="677" spans="1:61" ht="30" customHeight="1">
      <c r="A677" s="1"/>
      <c r="B677" s="2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</row>
    <row r="678" spans="1:61" ht="30" customHeight="1">
      <c r="A678" s="1"/>
      <c r="B678" s="2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</row>
    <row r="679" spans="1:61" ht="30" customHeight="1">
      <c r="A679" s="1"/>
      <c r="B679" s="2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</row>
    <row r="680" spans="1:61" ht="30" customHeight="1">
      <c r="A680" s="1"/>
      <c r="B680" s="2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</row>
    <row r="681" spans="1:61" ht="30" customHeight="1">
      <c r="A681" s="1"/>
      <c r="B681" s="2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</row>
    <row r="682" spans="1:61" ht="30" customHeight="1">
      <c r="A682" s="1"/>
      <c r="B682" s="2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</row>
    <row r="683" spans="1:61" ht="30" customHeight="1">
      <c r="A683" s="1"/>
      <c r="B683" s="2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</row>
    <row r="684" spans="1:61" ht="30" customHeight="1">
      <c r="A684" s="1"/>
      <c r="B684" s="2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</row>
    <row r="685" spans="1:61" ht="30" customHeight="1">
      <c r="A685" s="1"/>
      <c r="B685" s="2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</row>
    <row r="686" spans="1:61" ht="30" customHeight="1">
      <c r="A686" s="1"/>
      <c r="B686" s="2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</row>
    <row r="687" spans="1:61" ht="30" customHeight="1">
      <c r="A687" s="1"/>
      <c r="B687" s="2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</row>
    <row r="688" spans="1:61" ht="30" customHeight="1">
      <c r="A688" s="1"/>
      <c r="B688" s="2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</row>
    <row r="689" spans="1:61" ht="30" customHeight="1">
      <c r="A689" s="1"/>
      <c r="B689" s="2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</row>
    <row r="690" spans="1:61" ht="30" customHeight="1">
      <c r="A690" s="1"/>
      <c r="B690" s="2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</row>
    <row r="691" spans="1:61" ht="30" customHeight="1">
      <c r="A691" s="1"/>
      <c r="B691" s="2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</row>
    <row r="692" spans="1:61" ht="30" customHeight="1">
      <c r="A692" s="1"/>
      <c r="B692" s="2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</row>
    <row r="693" spans="1:61" ht="30" customHeight="1">
      <c r="A693" s="1"/>
      <c r="B693" s="2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</row>
    <row r="694" spans="1:61" ht="30" customHeight="1">
      <c r="A694" s="1"/>
      <c r="B694" s="2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</row>
    <row r="695" spans="1:61" ht="30" customHeight="1">
      <c r="A695" s="1"/>
      <c r="B695" s="2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</row>
    <row r="696" spans="1:61" ht="30" customHeight="1">
      <c r="A696" s="1"/>
      <c r="B696" s="2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</row>
    <row r="697" spans="1:61" ht="30" customHeight="1">
      <c r="A697" s="1"/>
      <c r="B697" s="2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</row>
    <row r="698" spans="1:61" ht="30" customHeight="1">
      <c r="A698" s="1"/>
      <c r="B698" s="2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</row>
    <row r="699" spans="1:61" ht="30" customHeight="1">
      <c r="A699" s="1"/>
      <c r="B699" s="2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</row>
    <row r="700" spans="1:61" ht="30" customHeight="1">
      <c r="A700" s="1"/>
      <c r="B700" s="2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</row>
    <row r="701" spans="1:61" ht="30" customHeight="1">
      <c r="A701" s="1"/>
      <c r="B701" s="2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</row>
    <row r="702" spans="1:61" ht="30" customHeight="1">
      <c r="A702" s="1"/>
      <c r="B702" s="2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</row>
    <row r="703" spans="1:61" ht="30" customHeight="1">
      <c r="A703" s="1"/>
      <c r="B703" s="2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</row>
    <row r="704" spans="1:61" ht="30" customHeight="1">
      <c r="A704" s="1"/>
      <c r="B704" s="2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</row>
    <row r="705" spans="1:61" ht="30" customHeight="1">
      <c r="A705" s="1"/>
      <c r="B705" s="2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</row>
    <row r="706" spans="1:61" ht="30" customHeight="1">
      <c r="A706" s="1"/>
      <c r="B706" s="2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</row>
    <row r="707" spans="1:61" ht="30" customHeight="1">
      <c r="A707" s="1"/>
      <c r="B707" s="2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</row>
    <row r="708" spans="1:61" ht="30" customHeight="1">
      <c r="A708" s="1"/>
      <c r="B708" s="2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</row>
    <row r="709" spans="1:61" ht="30" customHeight="1">
      <c r="A709" s="1"/>
      <c r="B709" s="2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</row>
    <row r="710" spans="1:61" ht="30" customHeight="1">
      <c r="A710" s="1"/>
      <c r="B710" s="2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</row>
    <row r="711" spans="1:61" ht="30" customHeight="1">
      <c r="A711" s="1"/>
      <c r="B711" s="2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</row>
    <row r="712" spans="1:61" ht="30" customHeight="1">
      <c r="A712" s="1"/>
      <c r="B712" s="2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</row>
    <row r="713" spans="1:61" ht="30" customHeight="1">
      <c r="A713" s="1"/>
      <c r="B713" s="2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</row>
    <row r="714" spans="1:61" ht="30" customHeight="1">
      <c r="A714" s="1"/>
      <c r="B714" s="2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</row>
    <row r="715" spans="1:61" ht="30" customHeight="1">
      <c r="A715" s="1"/>
      <c r="B715" s="2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</row>
    <row r="716" spans="1:61" ht="30" customHeight="1">
      <c r="A716" s="1"/>
      <c r="B716" s="2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</row>
    <row r="717" spans="1:61" ht="30" customHeight="1">
      <c r="A717" s="1"/>
      <c r="B717" s="2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</row>
    <row r="718" spans="1:61" ht="30" customHeight="1">
      <c r="A718" s="1"/>
      <c r="B718" s="2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</row>
    <row r="719" spans="1:61" ht="30" customHeight="1">
      <c r="A719" s="1"/>
      <c r="B719" s="2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</row>
    <row r="720" spans="1:61" ht="30" customHeight="1">
      <c r="A720" s="1"/>
      <c r="B720" s="2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</row>
    <row r="721" spans="1:61" ht="30" customHeight="1">
      <c r="A721" s="1"/>
      <c r="B721" s="2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</row>
    <row r="722" spans="1:61" ht="30" customHeight="1">
      <c r="A722" s="1"/>
      <c r="B722" s="2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</row>
    <row r="723" spans="1:61" ht="30" customHeight="1">
      <c r="A723" s="1"/>
      <c r="B723" s="2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</row>
    <row r="724" spans="1:61" ht="30" customHeight="1">
      <c r="A724" s="1"/>
      <c r="B724" s="2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</row>
    <row r="725" spans="1:61" ht="30" customHeight="1">
      <c r="A725" s="1"/>
      <c r="B725" s="2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</row>
    <row r="726" spans="1:61" ht="30" customHeight="1">
      <c r="A726" s="1"/>
      <c r="B726" s="2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</row>
    <row r="727" spans="1:61" ht="30" customHeight="1">
      <c r="A727" s="1"/>
      <c r="B727" s="2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</row>
    <row r="728" spans="1:61" ht="30" customHeight="1">
      <c r="A728" s="1"/>
      <c r="B728" s="2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</row>
    <row r="729" spans="1:61" ht="30" customHeight="1">
      <c r="A729" s="1"/>
      <c r="B729" s="2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</row>
    <row r="730" spans="1:61" ht="30" customHeight="1">
      <c r="A730" s="1"/>
      <c r="B730" s="2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</row>
    <row r="731" spans="1:61" ht="30" customHeight="1">
      <c r="A731" s="1"/>
      <c r="B731" s="2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</row>
    <row r="732" spans="1:61" ht="30" customHeight="1">
      <c r="A732" s="1"/>
      <c r="B732" s="2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</row>
    <row r="733" spans="1:61" ht="30" customHeight="1">
      <c r="A733" s="1"/>
      <c r="B733" s="2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</row>
    <row r="734" spans="1:61" ht="30" customHeight="1">
      <c r="A734" s="1"/>
      <c r="B734" s="2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</row>
    <row r="735" spans="1:61" ht="30" customHeight="1">
      <c r="A735" s="1"/>
      <c r="B735" s="2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</row>
    <row r="736" spans="1:61" ht="30" customHeight="1">
      <c r="A736" s="1"/>
      <c r="B736" s="2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</row>
    <row r="737" spans="1:61" ht="30" customHeight="1">
      <c r="A737" s="1"/>
      <c r="B737" s="2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</row>
    <row r="738" spans="1:61" ht="30" customHeight="1">
      <c r="A738" s="1"/>
      <c r="B738" s="2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</row>
    <row r="739" spans="1:61" ht="30" customHeight="1">
      <c r="A739" s="1"/>
      <c r="B739" s="2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</row>
    <row r="740" spans="1:61" ht="30" customHeight="1">
      <c r="A740" s="1"/>
      <c r="B740" s="2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</row>
    <row r="741" spans="1:61" ht="30" customHeight="1">
      <c r="A741" s="1"/>
      <c r="B741" s="2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</row>
    <row r="742" spans="1:61" ht="30" customHeight="1">
      <c r="A742" s="1"/>
      <c r="B742" s="2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</row>
    <row r="743" spans="1:61" ht="30" customHeight="1">
      <c r="A743" s="1"/>
      <c r="B743" s="2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</row>
    <row r="744" spans="1:61" ht="30" customHeight="1">
      <c r="A744" s="1"/>
      <c r="B744" s="2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</row>
    <row r="745" spans="1:61" ht="30" customHeight="1">
      <c r="A745" s="1"/>
      <c r="B745" s="2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</row>
    <row r="746" spans="1:61" ht="30" customHeight="1">
      <c r="A746" s="1"/>
      <c r="B746" s="2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</row>
    <row r="747" spans="1:61" ht="30" customHeight="1">
      <c r="A747" s="1"/>
      <c r="B747" s="2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</row>
    <row r="748" spans="1:61" ht="30" customHeight="1">
      <c r="A748" s="1"/>
      <c r="B748" s="2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</row>
    <row r="749" spans="1:61" ht="30" customHeight="1">
      <c r="A749" s="1"/>
      <c r="B749" s="2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</row>
    <row r="750" spans="1:61" ht="30" customHeight="1">
      <c r="A750" s="1"/>
      <c r="B750" s="2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</row>
    <row r="751" spans="1:61" ht="30" customHeight="1">
      <c r="A751" s="1"/>
      <c r="B751" s="2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</row>
    <row r="752" spans="1:61" ht="30" customHeight="1">
      <c r="A752" s="1"/>
      <c r="B752" s="2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</row>
    <row r="753" spans="1:61" ht="30" customHeight="1">
      <c r="A753" s="1"/>
      <c r="B753" s="2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</row>
    <row r="754" spans="1:61" ht="30" customHeight="1">
      <c r="A754" s="1"/>
      <c r="B754" s="2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</row>
    <row r="755" spans="1:61" ht="30" customHeight="1">
      <c r="A755" s="1"/>
      <c r="B755" s="2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</row>
    <row r="756" spans="1:61" ht="30" customHeight="1">
      <c r="A756" s="1"/>
      <c r="B756" s="2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</row>
    <row r="757" spans="1:61" ht="30" customHeight="1">
      <c r="A757" s="1"/>
      <c r="B757" s="2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</row>
    <row r="758" spans="1:61" ht="30" customHeight="1">
      <c r="A758" s="1"/>
      <c r="B758" s="2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</row>
    <row r="759" spans="1:61" ht="30" customHeight="1">
      <c r="A759" s="1"/>
      <c r="B759" s="2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</row>
    <row r="760" spans="1:61" ht="30" customHeight="1">
      <c r="A760" s="1"/>
      <c r="B760" s="2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</row>
    <row r="761" spans="1:61" ht="30" customHeight="1">
      <c r="A761" s="1"/>
      <c r="B761" s="2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</row>
    <row r="762" spans="1:61" ht="30" customHeight="1">
      <c r="A762" s="1"/>
      <c r="B762" s="2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</row>
    <row r="763" spans="1:61" ht="30" customHeight="1">
      <c r="A763" s="1"/>
      <c r="B763" s="2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</row>
    <row r="764" spans="1:61" ht="30" customHeight="1">
      <c r="A764" s="1"/>
      <c r="B764" s="2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</row>
    <row r="765" spans="1:61" ht="30" customHeight="1">
      <c r="A765" s="1"/>
      <c r="B765" s="2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</row>
    <row r="766" spans="1:61" ht="30" customHeight="1">
      <c r="A766" s="1"/>
      <c r="B766" s="2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</row>
    <row r="767" spans="1:61" ht="30" customHeight="1">
      <c r="A767" s="1"/>
      <c r="B767" s="2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</row>
    <row r="768" spans="1:61" ht="30" customHeight="1">
      <c r="A768" s="1"/>
      <c r="B768" s="2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</row>
    <row r="769" spans="1:61" ht="30" customHeight="1">
      <c r="A769" s="1"/>
      <c r="B769" s="2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</row>
    <row r="770" spans="1:61" ht="30" customHeight="1">
      <c r="A770" s="1"/>
      <c r="B770" s="2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</row>
    <row r="771" spans="1:61" ht="30" customHeight="1">
      <c r="A771" s="1"/>
      <c r="B771" s="2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</row>
    <row r="772" spans="1:61" ht="30" customHeight="1">
      <c r="A772" s="1"/>
      <c r="B772" s="2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</row>
    <row r="773" spans="1:61" ht="30" customHeight="1">
      <c r="A773" s="1"/>
      <c r="B773" s="2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</row>
    <row r="774" spans="1:61" ht="30" customHeight="1">
      <c r="A774" s="1"/>
      <c r="B774" s="2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</row>
    <row r="775" spans="1:61" ht="30" customHeight="1">
      <c r="A775" s="1"/>
      <c r="B775" s="2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</row>
    <row r="776" spans="1:61" ht="30" customHeight="1">
      <c r="A776" s="1"/>
      <c r="B776" s="2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</row>
    <row r="777" spans="1:61" ht="30" customHeight="1">
      <c r="A777" s="1"/>
      <c r="B777" s="2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</row>
    <row r="778" spans="1:61" ht="30" customHeight="1">
      <c r="A778" s="1"/>
      <c r="B778" s="2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</row>
    <row r="779" spans="1:61" ht="30" customHeight="1">
      <c r="A779" s="1"/>
      <c r="B779" s="2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</row>
    <row r="780" spans="1:61" ht="30" customHeight="1">
      <c r="A780" s="1"/>
      <c r="B780" s="2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</row>
    <row r="781" spans="1:61" ht="30" customHeight="1">
      <c r="A781" s="1"/>
      <c r="B781" s="2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</row>
    <row r="782" spans="1:61" ht="30" customHeight="1">
      <c r="A782" s="1"/>
      <c r="B782" s="2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</row>
    <row r="783" spans="1:61" ht="30" customHeight="1">
      <c r="A783" s="1"/>
      <c r="B783" s="2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</row>
    <row r="784" spans="1:61" ht="30" customHeight="1">
      <c r="A784" s="1"/>
      <c r="B784" s="2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</row>
    <row r="785" spans="1:61" ht="30" customHeight="1">
      <c r="A785" s="1"/>
      <c r="B785" s="2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</row>
    <row r="786" spans="1:61" ht="30" customHeight="1">
      <c r="A786" s="1"/>
      <c r="B786" s="2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</row>
    <row r="787" spans="1:61" ht="30" customHeight="1">
      <c r="A787" s="1"/>
      <c r="B787" s="2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</row>
    <row r="788" spans="1:61" ht="30" customHeight="1">
      <c r="A788" s="1"/>
      <c r="B788" s="2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</row>
    <row r="789" spans="1:61" ht="30" customHeight="1">
      <c r="A789" s="1"/>
      <c r="B789" s="2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</row>
    <row r="790" spans="1:61" ht="30" customHeight="1">
      <c r="A790" s="1"/>
      <c r="B790" s="2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</row>
    <row r="791" spans="1:61" ht="30" customHeight="1">
      <c r="A791" s="1"/>
      <c r="B791" s="2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</row>
    <row r="792" spans="1:61" ht="30" customHeight="1">
      <c r="A792" s="1"/>
      <c r="B792" s="2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</row>
    <row r="793" spans="1:61" ht="30" customHeight="1">
      <c r="A793" s="1"/>
      <c r="B793" s="2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</row>
    <row r="794" spans="1:61" ht="30" customHeight="1">
      <c r="A794" s="1"/>
      <c r="B794" s="2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</row>
    <row r="795" spans="1:61" ht="30" customHeight="1">
      <c r="A795" s="1"/>
      <c r="B795" s="2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</row>
    <row r="796" spans="1:61" ht="30" customHeight="1">
      <c r="A796" s="1"/>
      <c r="B796" s="2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</row>
    <row r="797" spans="1:61" ht="30" customHeight="1">
      <c r="A797" s="1"/>
      <c r="B797" s="2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</row>
    <row r="798" spans="1:61" ht="30" customHeight="1">
      <c r="A798" s="1"/>
      <c r="B798" s="2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</row>
    <row r="799" spans="1:61" ht="30" customHeight="1">
      <c r="A799" s="1"/>
      <c r="B799" s="2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</row>
    <row r="800" spans="1:61" ht="30" customHeight="1">
      <c r="A800" s="1"/>
      <c r="B800" s="2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</row>
    <row r="801" spans="1:61" ht="30" customHeight="1">
      <c r="A801" s="1"/>
      <c r="B801" s="2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</row>
    <row r="802" spans="1:61" ht="30" customHeight="1">
      <c r="A802" s="1"/>
      <c r="B802" s="2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</row>
    <row r="803" spans="1:61" ht="30" customHeight="1">
      <c r="A803" s="1"/>
      <c r="B803" s="2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</row>
    <row r="804" spans="1:61" ht="30" customHeight="1">
      <c r="A804" s="1"/>
      <c r="B804" s="2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</row>
    <row r="805" spans="1:61" ht="30" customHeight="1">
      <c r="A805" s="1"/>
      <c r="B805" s="2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</row>
    <row r="806" spans="1:61" ht="30" customHeight="1">
      <c r="A806" s="1"/>
      <c r="B806" s="2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</row>
    <row r="807" spans="1:61" ht="30" customHeight="1">
      <c r="A807" s="1"/>
      <c r="B807" s="2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</row>
    <row r="808" spans="1:61" ht="30" customHeight="1">
      <c r="A808" s="1"/>
      <c r="B808" s="2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</row>
    <row r="809" spans="1:61" ht="30" customHeight="1">
      <c r="A809" s="1"/>
      <c r="B809" s="2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</row>
    <row r="810" spans="1:61" ht="30" customHeight="1">
      <c r="A810" s="1"/>
      <c r="B810" s="2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</row>
    <row r="811" spans="1:61" ht="30" customHeight="1">
      <c r="A811" s="1"/>
      <c r="B811" s="2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</row>
    <row r="812" spans="1:61" ht="30" customHeight="1">
      <c r="A812" s="1"/>
      <c r="B812" s="2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</row>
    <row r="813" spans="1:61" ht="30" customHeight="1">
      <c r="A813" s="1"/>
      <c r="B813" s="2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</row>
    <row r="814" spans="1:61" ht="30" customHeight="1">
      <c r="A814" s="1"/>
      <c r="B814" s="2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</row>
    <row r="815" spans="1:61" ht="30" customHeight="1">
      <c r="A815" s="1"/>
      <c r="B815" s="2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</row>
    <row r="816" spans="1:61" ht="30" customHeight="1">
      <c r="A816" s="1"/>
      <c r="B816" s="2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</row>
    <row r="817" spans="1:61" ht="30" customHeight="1">
      <c r="A817" s="1"/>
      <c r="B817" s="2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</row>
    <row r="818" spans="1:61" ht="30" customHeight="1">
      <c r="A818" s="1"/>
      <c r="B818" s="2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</row>
    <row r="819" spans="1:61" ht="30" customHeight="1">
      <c r="A819" s="1"/>
      <c r="B819" s="2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</row>
    <row r="820" spans="1:61" ht="30" customHeight="1">
      <c r="A820" s="1"/>
      <c r="B820" s="2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</row>
    <row r="821" spans="1:61" ht="30" customHeight="1">
      <c r="A821" s="1"/>
      <c r="B821" s="2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</row>
    <row r="822" spans="1:61" ht="30" customHeight="1">
      <c r="A822" s="1"/>
      <c r="B822" s="2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</row>
    <row r="823" spans="1:61" ht="30" customHeight="1">
      <c r="A823" s="1"/>
      <c r="B823" s="2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</row>
    <row r="824" spans="1:61" ht="30" customHeight="1">
      <c r="A824" s="1"/>
      <c r="B824" s="2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</row>
    <row r="825" spans="1:61" ht="30" customHeight="1">
      <c r="A825" s="1"/>
      <c r="B825" s="2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</row>
    <row r="826" spans="1:61" ht="30" customHeight="1">
      <c r="A826" s="1"/>
      <c r="B826" s="2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</row>
    <row r="827" spans="1:61" ht="30" customHeight="1">
      <c r="A827" s="1"/>
      <c r="B827" s="2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</row>
    <row r="828" spans="1:61" ht="30" customHeight="1">
      <c r="A828" s="1"/>
      <c r="B828" s="2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</row>
    <row r="829" spans="1:61" ht="30" customHeight="1">
      <c r="A829" s="1"/>
      <c r="B829" s="2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</row>
    <row r="830" spans="1:61" ht="30" customHeight="1">
      <c r="A830" s="1"/>
      <c r="B830" s="2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</row>
    <row r="831" spans="1:61" ht="30" customHeight="1">
      <c r="A831" s="1"/>
      <c r="B831" s="2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</row>
    <row r="832" spans="1:61" ht="30" customHeight="1">
      <c r="A832" s="1"/>
      <c r="B832" s="2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</row>
    <row r="833" spans="1:61" ht="30" customHeight="1">
      <c r="A833" s="1"/>
      <c r="B833" s="2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</row>
    <row r="834" spans="1:61" ht="30" customHeight="1">
      <c r="A834" s="1"/>
      <c r="B834" s="2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</row>
    <row r="835" spans="1:61" ht="30" customHeight="1">
      <c r="A835" s="1"/>
      <c r="B835" s="2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</row>
    <row r="836" spans="1:61" ht="30" customHeight="1">
      <c r="A836" s="1"/>
      <c r="B836" s="2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</row>
    <row r="837" spans="1:61" ht="30" customHeight="1">
      <c r="A837" s="1"/>
      <c r="B837" s="2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</row>
    <row r="838" spans="1:61" ht="30" customHeight="1">
      <c r="A838" s="1"/>
      <c r="B838" s="2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</row>
    <row r="839" spans="1:61" ht="30" customHeight="1">
      <c r="A839" s="1"/>
      <c r="B839" s="2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</row>
    <row r="840" spans="1:61" ht="30" customHeight="1">
      <c r="A840" s="1"/>
      <c r="B840" s="2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</row>
    <row r="841" spans="1:61" ht="30" customHeight="1">
      <c r="A841" s="1"/>
      <c r="B841" s="2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</row>
    <row r="842" spans="1:61" ht="30" customHeight="1">
      <c r="A842" s="1"/>
      <c r="B842" s="2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</row>
    <row r="843" spans="1:61" ht="30" customHeight="1">
      <c r="A843" s="1"/>
      <c r="B843" s="2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</row>
    <row r="844" spans="1:61" ht="30" customHeight="1">
      <c r="A844" s="1"/>
      <c r="B844" s="2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</row>
    <row r="845" spans="1:61" ht="30" customHeight="1">
      <c r="A845" s="1"/>
      <c r="B845" s="2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</row>
    <row r="846" spans="1:61" ht="30" customHeight="1">
      <c r="A846" s="1"/>
      <c r="B846" s="2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</row>
    <row r="847" spans="1:61" ht="30" customHeight="1">
      <c r="A847" s="1"/>
      <c r="B847" s="2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</row>
    <row r="848" spans="1:61" ht="30" customHeight="1">
      <c r="A848" s="1"/>
      <c r="B848" s="2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</row>
    <row r="849" spans="1:61" ht="30" customHeight="1">
      <c r="A849" s="1"/>
      <c r="B849" s="2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</row>
    <row r="850" spans="1:61" ht="30" customHeight="1">
      <c r="A850" s="1"/>
      <c r="B850" s="2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</row>
    <row r="851" spans="1:61" ht="30" customHeight="1">
      <c r="A851" s="1"/>
      <c r="B851" s="2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</row>
    <row r="852" spans="1:61" ht="30" customHeight="1">
      <c r="A852" s="1"/>
      <c r="B852" s="2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</row>
    <row r="853" spans="1:61" ht="30" customHeight="1">
      <c r="A853" s="1"/>
      <c r="B853" s="2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</row>
    <row r="854" spans="1:61" ht="30" customHeight="1">
      <c r="A854" s="1"/>
      <c r="B854" s="2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</row>
    <row r="855" spans="1:61" ht="30" customHeight="1">
      <c r="A855" s="1"/>
      <c r="B855" s="2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</row>
    <row r="856" spans="1:61" ht="30" customHeight="1">
      <c r="A856" s="1"/>
      <c r="B856" s="2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</row>
    <row r="857" spans="1:61" ht="30" customHeight="1">
      <c r="A857" s="1"/>
      <c r="B857" s="2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</row>
    <row r="858" spans="1:61" ht="30" customHeight="1">
      <c r="A858" s="1"/>
      <c r="B858" s="2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</row>
    <row r="859" spans="1:61" ht="30" customHeight="1">
      <c r="A859" s="1"/>
      <c r="B859" s="2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</row>
    <row r="860" spans="1:61" ht="30" customHeight="1">
      <c r="A860" s="1"/>
      <c r="B860" s="2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</row>
    <row r="861" spans="1:61" ht="30" customHeight="1">
      <c r="A861" s="1"/>
      <c r="B861" s="2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</row>
    <row r="862" spans="1:61" ht="30" customHeight="1">
      <c r="A862" s="1"/>
      <c r="B862" s="2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</row>
    <row r="863" spans="1:61" ht="30" customHeight="1">
      <c r="A863" s="1"/>
      <c r="B863" s="2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</row>
    <row r="864" spans="1:61" ht="30" customHeight="1">
      <c r="A864" s="1"/>
      <c r="B864" s="2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</row>
    <row r="865" spans="1:61" ht="30" customHeight="1">
      <c r="A865" s="1"/>
      <c r="B865" s="2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</row>
    <row r="866" spans="1:61" ht="30" customHeight="1">
      <c r="A866" s="1"/>
      <c r="B866" s="2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</row>
    <row r="867" spans="1:61" ht="30" customHeight="1">
      <c r="A867" s="1"/>
      <c r="B867" s="2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</row>
    <row r="868" spans="1:61" ht="30" customHeight="1">
      <c r="A868" s="1"/>
      <c r="B868" s="2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</row>
    <row r="869" spans="1:61" ht="30" customHeight="1">
      <c r="A869" s="1"/>
      <c r="B869" s="2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</row>
    <row r="870" spans="1:61" ht="30" customHeight="1">
      <c r="A870" s="1"/>
      <c r="B870" s="2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</row>
    <row r="871" spans="1:61" ht="30" customHeight="1">
      <c r="A871" s="1"/>
      <c r="B871" s="2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</row>
    <row r="872" spans="1:61" ht="30" customHeight="1">
      <c r="A872" s="1"/>
      <c r="B872" s="2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</row>
    <row r="873" spans="1:61" ht="30" customHeight="1">
      <c r="A873" s="1"/>
      <c r="B873" s="2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</row>
    <row r="874" spans="1:61" ht="30" customHeight="1">
      <c r="A874" s="1"/>
      <c r="B874" s="2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</row>
    <row r="875" spans="1:61" ht="30" customHeight="1">
      <c r="A875" s="1"/>
      <c r="B875" s="2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</row>
    <row r="876" spans="1:61" ht="30" customHeight="1">
      <c r="A876" s="1"/>
      <c r="B876" s="2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</row>
    <row r="877" spans="1:61" ht="30" customHeight="1">
      <c r="A877" s="1"/>
      <c r="B877" s="2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</row>
    <row r="878" spans="1:61" ht="30" customHeight="1">
      <c r="A878" s="1"/>
      <c r="B878" s="2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</row>
    <row r="879" spans="1:61" ht="30" customHeight="1">
      <c r="A879" s="1"/>
      <c r="B879" s="2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</row>
    <row r="880" spans="1:61" ht="30" customHeight="1">
      <c r="A880" s="1"/>
      <c r="B880" s="2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</row>
    <row r="881" spans="1:61" ht="30" customHeight="1">
      <c r="A881" s="1"/>
      <c r="B881" s="2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</row>
    <row r="882" spans="1:61" ht="30" customHeight="1">
      <c r="A882" s="1"/>
      <c r="B882" s="2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</row>
    <row r="883" spans="1:61" ht="30" customHeight="1">
      <c r="A883" s="1"/>
      <c r="B883" s="2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</row>
    <row r="884" spans="1:61" ht="30" customHeight="1">
      <c r="A884" s="1"/>
      <c r="B884" s="2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</row>
    <row r="885" spans="1:61" ht="30" customHeight="1">
      <c r="A885" s="1"/>
      <c r="B885" s="2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</row>
    <row r="886" spans="1:61" ht="30" customHeight="1">
      <c r="A886" s="1"/>
      <c r="B886" s="2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</row>
    <row r="887" spans="1:61" ht="30" customHeight="1">
      <c r="A887" s="1"/>
      <c r="B887" s="2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</row>
    <row r="888" spans="1:61" ht="30" customHeight="1">
      <c r="A888" s="1"/>
      <c r="B888" s="2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</row>
    <row r="889" spans="1:61" ht="30" customHeight="1">
      <c r="A889" s="1"/>
      <c r="B889" s="2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</row>
    <row r="890" spans="1:61" ht="30" customHeight="1">
      <c r="A890" s="1"/>
      <c r="B890" s="2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</row>
    <row r="891" spans="1:61" ht="30" customHeight="1">
      <c r="A891" s="1"/>
      <c r="B891" s="2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</row>
    <row r="892" spans="1:61" ht="30" customHeight="1">
      <c r="A892" s="1"/>
      <c r="B892" s="2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</row>
    <row r="893" spans="1:61" ht="30" customHeight="1">
      <c r="A893" s="1"/>
      <c r="B893" s="2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</row>
    <row r="894" spans="1:61" ht="30" customHeight="1">
      <c r="A894" s="1"/>
      <c r="B894" s="2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</row>
    <row r="895" spans="1:61" ht="30" customHeight="1">
      <c r="A895" s="1"/>
      <c r="B895" s="2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</row>
    <row r="896" spans="1:61" ht="30" customHeight="1">
      <c r="A896" s="1"/>
      <c r="B896" s="2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</row>
    <row r="897" spans="1:61" ht="30" customHeight="1">
      <c r="A897" s="1"/>
      <c r="B897" s="2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</row>
    <row r="898" spans="1:61" ht="30" customHeight="1">
      <c r="A898" s="1"/>
      <c r="B898" s="2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</row>
    <row r="899" spans="1:61" ht="30" customHeight="1">
      <c r="A899" s="1"/>
      <c r="B899" s="2"/>
      <c r="C899" s="1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</row>
    <row r="900" spans="1:61" ht="30" customHeight="1">
      <c r="A900" s="1"/>
      <c r="B900" s="2"/>
      <c r="C900" s="1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</row>
    <row r="901" spans="1:61" ht="30" customHeight="1">
      <c r="A901" s="1"/>
      <c r="B901" s="2"/>
      <c r="C901" s="1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</row>
    <row r="902" spans="1:61" ht="30" customHeight="1">
      <c r="A902" s="1"/>
      <c r="B902" s="2"/>
      <c r="C902" s="1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</row>
    <row r="903" spans="1:61" ht="30" customHeight="1">
      <c r="A903" s="1"/>
      <c r="B903" s="2"/>
      <c r="C903" s="1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</row>
    <row r="904" spans="1:61" ht="30" customHeight="1">
      <c r="A904" s="1"/>
      <c r="B904" s="2"/>
      <c r="C904" s="1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</row>
    <row r="905" spans="1:61" ht="30" customHeight="1">
      <c r="A905" s="1"/>
      <c r="B905" s="2"/>
      <c r="C905" s="1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</row>
    <row r="906" spans="1:61" ht="30" customHeight="1">
      <c r="A906" s="1"/>
      <c r="B906" s="2"/>
      <c r="C906" s="1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</row>
    <row r="907" spans="1:61" ht="30" customHeight="1">
      <c r="A907" s="1"/>
      <c r="B907" s="2"/>
      <c r="C907" s="1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</row>
    <row r="908" spans="1:61" ht="30" customHeight="1">
      <c r="A908" s="1"/>
      <c r="B908" s="2"/>
      <c r="C908" s="1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</row>
    <row r="909" spans="1:61" ht="30" customHeight="1">
      <c r="A909" s="1"/>
      <c r="B909" s="2"/>
      <c r="C909" s="1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</row>
    <row r="910" spans="1:61" ht="30" customHeight="1">
      <c r="A910" s="1"/>
      <c r="B910" s="2"/>
      <c r="C910" s="1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</row>
    <row r="911" spans="1:61" ht="30" customHeight="1">
      <c r="A911" s="1"/>
      <c r="B911" s="2"/>
      <c r="C911" s="1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</row>
    <row r="912" spans="1:61" ht="30" customHeight="1">
      <c r="A912" s="1"/>
      <c r="B912" s="2"/>
      <c r="C912" s="1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</row>
    <row r="913" spans="1:61" ht="30" customHeight="1">
      <c r="A913" s="1"/>
      <c r="B913" s="2"/>
      <c r="C913" s="1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</row>
    <row r="914" spans="1:61" ht="30" customHeight="1">
      <c r="A914" s="1"/>
      <c r="B914" s="2"/>
      <c r="C914" s="1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</row>
    <row r="915" spans="1:61" ht="30" customHeight="1">
      <c r="A915" s="1"/>
      <c r="B915" s="2"/>
      <c r="C915" s="1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</row>
    <row r="916" spans="1:61" ht="30" customHeight="1">
      <c r="A916" s="1"/>
      <c r="B916" s="2"/>
      <c r="C916" s="1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</row>
    <row r="917" spans="1:61" ht="30" customHeight="1">
      <c r="A917" s="1"/>
      <c r="B917" s="2"/>
      <c r="C917" s="1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</row>
    <row r="918" spans="1:61" ht="30" customHeight="1">
      <c r="A918" s="1"/>
      <c r="B918" s="2"/>
      <c r="C918" s="1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</row>
    <row r="919" spans="1:61" ht="30" customHeight="1">
      <c r="A919" s="1"/>
      <c r="B919" s="2"/>
      <c r="C919" s="1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</row>
    <row r="920" spans="1:61" ht="30" customHeight="1">
      <c r="A920" s="1"/>
      <c r="B920" s="2"/>
      <c r="C920" s="1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</row>
    <row r="921" spans="1:61" ht="30" customHeight="1">
      <c r="A921" s="1"/>
      <c r="B921" s="2"/>
      <c r="C921" s="1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</row>
    <row r="922" spans="1:61" ht="30" customHeight="1">
      <c r="A922" s="1"/>
      <c r="B922" s="2"/>
      <c r="C922" s="1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</row>
    <row r="923" spans="1:61" ht="30" customHeight="1">
      <c r="A923" s="1"/>
      <c r="B923" s="2"/>
      <c r="C923" s="1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</row>
    <row r="924" spans="1:61" ht="30" customHeight="1">
      <c r="A924" s="1"/>
      <c r="B924" s="2"/>
      <c r="C924" s="1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</row>
    <row r="925" spans="1:61" ht="30" customHeight="1">
      <c r="A925" s="1"/>
      <c r="B925" s="2"/>
      <c r="C925" s="1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</row>
    <row r="926" spans="1:61" ht="30" customHeight="1">
      <c r="A926" s="1"/>
      <c r="B926" s="2"/>
      <c r="C926" s="1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</row>
    <row r="927" spans="1:61" ht="30" customHeight="1">
      <c r="A927" s="1"/>
      <c r="B927" s="2"/>
      <c r="C927" s="1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</row>
    <row r="928" spans="1:61" ht="30" customHeight="1">
      <c r="A928" s="1"/>
      <c r="B928" s="2"/>
      <c r="C928" s="1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</row>
    <row r="929" spans="1:61" ht="30" customHeight="1">
      <c r="A929" s="1"/>
      <c r="B929" s="2"/>
      <c r="C929" s="1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</row>
    <row r="930" spans="1:61" ht="30" customHeight="1">
      <c r="A930" s="1"/>
      <c r="B930" s="2"/>
      <c r="C930" s="1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</row>
    <row r="931" spans="1:61" ht="30" customHeight="1">
      <c r="A931" s="1"/>
      <c r="B931" s="2"/>
      <c r="C931" s="1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</row>
    <row r="932" spans="1:61" ht="30" customHeight="1">
      <c r="A932" s="1"/>
      <c r="B932" s="2"/>
      <c r="C932" s="1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</row>
    <row r="933" spans="1:61" ht="30" customHeight="1">
      <c r="A933" s="1"/>
      <c r="B933" s="2"/>
      <c r="C933" s="1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</row>
    <row r="934" spans="1:61" ht="30" customHeight="1">
      <c r="A934" s="1"/>
      <c r="B934" s="2"/>
      <c r="C934" s="1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</row>
    <row r="935" spans="1:61" ht="30" customHeight="1">
      <c r="A935" s="1"/>
      <c r="B935" s="2"/>
      <c r="C935" s="1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</row>
    <row r="936" spans="1:61" ht="30" customHeight="1">
      <c r="A936" s="1"/>
      <c r="B936" s="2"/>
      <c r="C936" s="1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</row>
    <row r="937" spans="1:61" ht="30" customHeight="1">
      <c r="A937" s="1"/>
      <c r="B937" s="2"/>
      <c r="C937" s="1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</row>
    <row r="938" spans="1:61" ht="30" customHeight="1">
      <c r="A938" s="1"/>
      <c r="B938" s="2"/>
      <c r="C938" s="1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</row>
    <row r="939" spans="1:61" ht="30" customHeight="1">
      <c r="A939" s="1"/>
      <c r="B939" s="2"/>
      <c r="C939" s="1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</row>
    <row r="940" spans="1:61" ht="30" customHeight="1">
      <c r="A940" s="1"/>
      <c r="B940" s="2"/>
      <c r="C940" s="1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</row>
    <row r="941" spans="1:61" ht="30" customHeight="1">
      <c r="A941" s="1"/>
      <c r="B941" s="2"/>
      <c r="C941" s="1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</row>
    <row r="942" spans="1:61" ht="30" customHeight="1">
      <c r="A942" s="1"/>
      <c r="B942" s="2"/>
      <c r="C942" s="1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</row>
    <row r="943" spans="1:61" ht="30" customHeight="1">
      <c r="A943" s="1"/>
      <c r="B943" s="2"/>
      <c r="C943" s="1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</row>
    <row r="944" spans="1:61" ht="30" customHeight="1">
      <c r="A944" s="1"/>
      <c r="B944" s="2"/>
      <c r="C944" s="1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</row>
    <row r="945" spans="1:61" ht="30" customHeight="1">
      <c r="A945" s="1"/>
      <c r="B945" s="2"/>
      <c r="C945" s="1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</row>
    <row r="946" spans="1:61" ht="30" customHeight="1">
      <c r="A946" s="1"/>
      <c r="B946" s="2"/>
      <c r="C946" s="1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</row>
    <row r="947" spans="1:61" ht="30" customHeight="1">
      <c r="A947" s="1"/>
      <c r="B947" s="2"/>
      <c r="C947" s="1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</row>
    <row r="948" spans="1:61" ht="30" customHeight="1">
      <c r="A948" s="1"/>
      <c r="B948" s="2"/>
      <c r="C948" s="1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</row>
    <row r="949" spans="1:61" ht="30" customHeight="1">
      <c r="A949" s="1"/>
      <c r="B949" s="2"/>
      <c r="C949" s="1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</row>
    <row r="950" spans="1:61" ht="30" customHeight="1">
      <c r="A950" s="1"/>
      <c r="B950" s="2"/>
      <c r="C950" s="1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</row>
    <row r="951" spans="1:61" ht="30" customHeight="1">
      <c r="A951" s="1"/>
      <c r="B951" s="2"/>
      <c r="C951" s="1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</row>
    <row r="952" spans="1:61" ht="30" customHeight="1">
      <c r="A952" s="1"/>
      <c r="B952" s="2"/>
      <c r="C952" s="1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</row>
    <row r="953" spans="1:61" ht="30" customHeight="1">
      <c r="A953" s="1"/>
      <c r="B953" s="2"/>
      <c r="C953" s="1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</row>
    <row r="954" spans="1:61" ht="30" customHeight="1">
      <c r="A954" s="1"/>
      <c r="B954" s="2"/>
      <c r="C954" s="1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</row>
    <row r="955" spans="1:61" ht="30" customHeight="1">
      <c r="A955" s="1"/>
      <c r="B955" s="2"/>
      <c r="C955" s="1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</row>
    <row r="956" spans="1:61" ht="30" customHeight="1">
      <c r="A956" s="1"/>
      <c r="B956" s="2"/>
      <c r="C956" s="1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</row>
    <row r="957" spans="1:61" ht="30" customHeight="1">
      <c r="A957" s="1"/>
      <c r="B957" s="2"/>
      <c r="C957" s="1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</row>
    <row r="958" spans="1:61" ht="30" customHeight="1">
      <c r="A958" s="1"/>
      <c r="B958" s="2"/>
      <c r="C958" s="1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</row>
    <row r="959" spans="1:61" ht="30" customHeight="1">
      <c r="A959" s="1"/>
      <c r="B959" s="2"/>
      <c r="C959" s="1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</row>
    <row r="960" spans="1:61" ht="30" customHeight="1">
      <c r="A960" s="1"/>
      <c r="B960" s="2"/>
      <c r="C960" s="1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</row>
    <row r="961" spans="1:61" ht="30" customHeight="1">
      <c r="A961" s="1"/>
      <c r="B961" s="2"/>
      <c r="C961" s="1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</row>
    <row r="962" spans="1:61" ht="30" customHeight="1">
      <c r="A962" s="1"/>
      <c r="B962" s="2"/>
      <c r="C962" s="1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</row>
    <row r="963" spans="1:61" ht="30" customHeight="1">
      <c r="A963" s="1"/>
      <c r="B963" s="2"/>
      <c r="C963" s="1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</row>
    <row r="964" spans="1:61" ht="30" customHeight="1">
      <c r="A964" s="1"/>
      <c r="B964" s="2"/>
      <c r="C964" s="1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</row>
    <row r="965" spans="1:61" ht="30" customHeight="1">
      <c r="A965" s="1"/>
      <c r="B965" s="2"/>
      <c r="C965" s="1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</row>
    <row r="966" spans="1:61" ht="30" customHeight="1">
      <c r="A966" s="1"/>
      <c r="B966" s="2"/>
      <c r="C966" s="1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</row>
    <row r="967" spans="1:61" ht="30" customHeight="1">
      <c r="A967" s="1"/>
      <c r="B967" s="2"/>
      <c r="C967" s="1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</row>
    <row r="968" spans="1:61" ht="30" customHeight="1">
      <c r="A968" s="1"/>
      <c r="B968" s="2"/>
      <c r="C968" s="1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</row>
    <row r="969" spans="1:61" ht="30" customHeight="1">
      <c r="A969" s="1"/>
      <c r="B969" s="2"/>
      <c r="C969" s="1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</row>
    <row r="970" spans="1:61" ht="30" customHeight="1">
      <c r="A970" s="1"/>
      <c r="B970" s="2"/>
      <c r="C970" s="1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</row>
    <row r="971" spans="1:61" ht="30" customHeight="1">
      <c r="A971" s="1"/>
      <c r="B971" s="2"/>
      <c r="C971" s="1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</row>
    <row r="972" spans="1:61" ht="30" customHeight="1">
      <c r="A972" s="1"/>
      <c r="B972" s="2"/>
      <c r="C972" s="1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</row>
    <row r="973" spans="1:61" ht="30" customHeight="1">
      <c r="A973" s="1"/>
      <c r="B973" s="2"/>
      <c r="C973" s="1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</row>
    <row r="974" spans="1:61" ht="30" customHeight="1">
      <c r="A974" s="1"/>
      <c r="B974" s="2"/>
      <c r="C974" s="1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</row>
    <row r="975" spans="1:61" ht="30" customHeight="1">
      <c r="A975" s="1"/>
      <c r="B975" s="2"/>
      <c r="C975" s="1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</row>
    <row r="976" spans="1:61" ht="30" customHeight="1">
      <c r="A976" s="1"/>
      <c r="B976" s="2"/>
      <c r="C976" s="1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</row>
    <row r="977" spans="1:61" ht="30" customHeight="1">
      <c r="A977" s="1"/>
      <c r="B977" s="2"/>
      <c r="C977" s="1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</row>
    <row r="978" spans="1:61" ht="30" customHeight="1">
      <c r="A978" s="1"/>
      <c r="B978" s="2"/>
      <c r="C978" s="1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</row>
    <row r="979" spans="1:61" ht="30" customHeight="1">
      <c r="A979" s="1"/>
      <c r="B979" s="2"/>
      <c r="C979" s="1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</row>
    <row r="980" spans="1:61" ht="30" customHeight="1">
      <c r="A980" s="1"/>
      <c r="B980" s="2"/>
      <c r="C980" s="1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</row>
    <row r="981" spans="1:61" ht="30" customHeight="1">
      <c r="A981" s="1"/>
      <c r="B981" s="2"/>
      <c r="C981" s="1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</row>
    <row r="982" spans="1:61" ht="30" customHeight="1">
      <c r="A982" s="1"/>
      <c r="B982" s="2"/>
      <c r="C982" s="1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</row>
    <row r="983" spans="1:61" ht="30" customHeight="1">
      <c r="A983" s="1"/>
      <c r="B983" s="2"/>
      <c r="C983" s="1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</row>
    <row r="984" spans="1:61" ht="30" customHeight="1">
      <c r="A984" s="1"/>
      <c r="B984" s="2"/>
      <c r="C984" s="1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</row>
    <row r="985" spans="1:61" ht="30" customHeight="1">
      <c r="A985" s="1"/>
      <c r="B985" s="2"/>
      <c r="C985" s="1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</row>
    <row r="986" spans="1:61" ht="30" customHeight="1">
      <c r="A986" s="1"/>
      <c r="B986" s="2"/>
      <c r="C986" s="1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</row>
    <row r="987" spans="1:61" ht="30" customHeight="1">
      <c r="A987" s="1"/>
      <c r="B987" s="2"/>
      <c r="C987" s="1"/>
      <c r="D987" s="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</row>
    <row r="988" spans="1:61" ht="30" customHeight="1">
      <c r="A988" s="1"/>
      <c r="B988" s="2"/>
      <c r="C988" s="1"/>
      <c r="D988" s="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</row>
    <row r="989" spans="1:61" ht="30" customHeight="1">
      <c r="A989" s="1"/>
      <c r="B989" s="2"/>
      <c r="C989" s="1"/>
      <c r="D989" s="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</row>
    <row r="990" spans="1:61" ht="30" customHeight="1">
      <c r="A990" s="1"/>
      <c r="B990" s="2"/>
      <c r="C990" s="1"/>
      <c r="D990" s="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</row>
    <row r="991" spans="1:61" ht="30" customHeight="1">
      <c r="A991" s="1"/>
      <c r="B991" s="2"/>
      <c r="C991" s="1"/>
      <c r="D991" s="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</row>
    <row r="992" spans="1:61" ht="30" customHeight="1">
      <c r="A992" s="1"/>
      <c r="B992" s="2"/>
      <c r="C992" s="1"/>
      <c r="D992" s="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</row>
    <row r="993" spans="1:61" ht="30" customHeight="1">
      <c r="A993" s="1"/>
      <c r="B993" s="2"/>
      <c r="C993" s="1"/>
      <c r="D993" s="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</row>
    <row r="994" spans="1:61" ht="30" customHeight="1">
      <c r="A994" s="1"/>
      <c r="B994" s="2"/>
      <c r="C994" s="1"/>
      <c r="D994" s="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</row>
  </sheetData>
  <autoFilter ref="A4:AX81" xr:uid="{00000000-0001-0000-0000-000000000000}"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7" showButton="0"/>
  </autoFilter>
  <sortState xmlns:xlrd2="http://schemas.microsoft.com/office/spreadsheetml/2017/richdata2" ref="B6:E80">
    <sortCondition ref="B6:B80"/>
  </sortState>
  <mergeCells count="17">
    <mergeCell ref="A81:E81"/>
    <mergeCell ref="AO4:AR4"/>
    <mergeCell ref="AS4:AW4"/>
    <mergeCell ref="A4:A5"/>
    <mergeCell ref="B4:B5"/>
    <mergeCell ref="C4:C5"/>
    <mergeCell ref="D4:D5"/>
    <mergeCell ref="E4:E5"/>
    <mergeCell ref="A2:AX2"/>
    <mergeCell ref="F4:I4"/>
    <mergeCell ref="J4:N4"/>
    <mergeCell ref="O4:R4"/>
    <mergeCell ref="S4:W4"/>
    <mergeCell ref="X4:AA4"/>
    <mergeCell ref="AB4:AE4"/>
    <mergeCell ref="AF4:AJ4"/>
    <mergeCell ref="AK4:AN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>
      <selection activeCell="E5" sqref="E5"/>
    </sheetView>
  </sheetViews>
  <sheetFormatPr baseColWidth="10" defaultColWidth="12.6328125" defaultRowHeight="15" customHeight="1"/>
  <cols>
    <col min="1" max="1" width="9.36328125" customWidth="1"/>
    <col min="2" max="2" width="50.36328125" customWidth="1"/>
  </cols>
  <sheetData>
    <row r="1" spans="1:26" ht="30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0" customHeight="1">
      <c r="A2" s="25" t="s">
        <v>41</v>
      </c>
      <c r="B2" s="21"/>
      <c r="C2" s="21"/>
      <c r="D2" s="21"/>
      <c r="E2" s="21"/>
      <c r="F2" s="21"/>
      <c r="G2" s="2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0" customHeight="1">
      <c r="A3" s="9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0" customHeight="1">
      <c r="A4" s="3" t="s">
        <v>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 customHeight="1">
      <c r="A5" s="12">
        <v>1</v>
      </c>
      <c r="B5" s="7"/>
      <c r="C5" s="12"/>
      <c r="D5" s="12"/>
      <c r="E5" s="12">
        <f t="shared" ref="E5:E50" si="0">D5*C5</f>
        <v>0</v>
      </c>
      <c r="F5" s="12"/>
      <c r="G5" s="13">
        <f t="shared" ref="G5:G68" si="1">F5+E5</f>
        <v>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0" customHeight="1">
      <c r="A6" s="12">
        <v>2</v>
      </c>
      <c r="B6" s="7"/>
      <c r="C6" s="12"/>
      <c r="D6" s="12"/>
      <c r="E6" s="12">
        <f t="shared" si="0"/>
        <v>0</v>
      </c>
      <c r="F6" s="12"/>
      <c r="G6" s="13">
        <f t="shared" si="1"/>
        <v>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0" customHeight="1">
      <c r="A7" s="12">
        <v>3</v>
      </c>
      <c r="B7" s="7"/>
      <c r="C7" s="12"/>
      <c r="D7" s="12"/>
      <c r="E7" s="12">
        <f t="shared" si="0"/>
        <v>0</v>
      </c>
      <c r="F7" s="12"/>
      <c r="G7" s="13">
        <f t="shared" si="1"/>
        <v>0</v>
      </c>
      <c r="H7" s="11"/>
      <c r="I7" s="14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0" customHeight="1">
      <c r="A8" s="12">
        <v>4</v>
      </c>
      <c r="B8" s="7"/>
      <c r="C8" s="12"/>
      <c r="D8" s="12"/>
      <c r="E8" s="12">
        <f t="shared" si="0"/>
        <v>0</v>
      </c>
      <c r="F8" s="12"/>
      <c r="G8" s="13">
        <f t="shared" si="1"/>
        <v>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0" customHeight="1">
      <c r="A9" s="12">
        <v>5</v>
      </c>
      <c r="B9" s="7"/>
      <c r="C9" s="12"/>
      <c r="D9" s="12"/>
      <c r="E9" s="12">
        <f t="shared" si="0"/>
        <v>0</v>
      </c>
      <c r="F9" s="12"/>
      <c r="G9" s="13">
        <f t="shared" si="1"/>
        <v>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0" customHeight="1">
      <c r="A10" s="12">
        <v>6</v>
      </c>
      <c r="B10" s="7"/>
      <c r="C10" s="12"/>
      <c r="D10" s="12"/>
      <c r="E10" s="12">
        <f t="shared" si="0"/>
        <v>0</v>
      </c>
      <c r="F10" s="12"/>
      <c r="G10" s="13">
        <f t="shared" si="1"/>
        <v>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0" customHeight="1">
      <c r="A11" s="12">
        <v>7</v>
      </c>
      <c r="B11" s="7"/>
      <c r="C11" s="12"/>
      <c r="D11" s="12"/>
      <c r="E11" s="12">
        <f t="shared" si="0"/>
        <v>0</v>
      </c>
      <c r="F11" s="12"/>
      <c r="G11" s="13">
        <f t="shared" si="1"/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0" customHeight="1">
      <c r="A12" s="12">
        <v>8</v>
      </c>
      <c r="B12" s="7"/>
      <c r="C12" s="12"/>
      <c r="D12" s="12"/>
      <c r="E12" s="12">
        <f t="shared" si="0"/>
        <v>0</v>
      </c>
      <c r="F12" s="12"/>
      <c r="G12" s="13">
        <f t="shared" si="1"/>
        <v>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0" customHeight="1">
      <c r="A13" s="12">
        <v>9</v>
      </c>
      <c r="B13" s="7"/>
      <c r="C13" s="12"/>
      <c r="D13" s="12"/>
      <c r="E13" s="12">
        <f t="shared" si="0"/>
        <v>0</v>
      </c>
      <c r="F13" s="12"/>
      <c r="G13" s="13">
        <f t="shared" si="1"/>
        <v>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0" customHeight="1">
      <c r="A14" s="12">
        <v>10</v>
      </c>
      <c r="B14" s="7"/>
      <c r="C14" s="12"/>
      <c r="D14" s="12"/>
      <c r="E14" s="12">
        <f t="shared" si="0"/>
        <v>0</v>
      </c>
      <c r="F14" s="12"/>
      <c r="G14" s="13">
        <f t="shared" si="1"/>
        <v>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0" customHeight="1">
      <c r="A15" s="12">
        <v>11</v>
      </c>
      <c r="B15" s="7"/>
      <c r="C15" s="12"/>
      <c r="D15" s="12"/>
      <c r="E15" s="12">
        <f t="shared" si="0"/>
        <v>0</v>
      </c>
      <c r="F15" s="12"/>
      <c r="G15" s="13">
        <f t="shared" si="1"/>
        <v>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0" customHeight="1">
      <c r="A16" s="12">
        <v>12</v>
      </c>
      <c r="B16" s="7"/>
      <c r="C16" s="12"/>
      <c r="D16" s="12"/>
      <c r="E16" s="12">
        <f t="shared" si="0"/>
        <v>0</v>
      </c>
      <c r="F16" s="12"/>
      <c r="G16" s="13">
        <f t="shared" si="1"/>
        <v>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0" customHeight="1">
      <c r="A17" s="12">
        <v>13</v>
      </c>
      <c r="B17" s="7"/>
      <c r="C17" s="12"/>
      <c r="D17" s="12"/>
      <c r="E17" s="12">
        <f t="shared" si="0"/>
        <v>0</v>
      </c>
      <c r="F17" s="12"/>
      <c r="G17" s="13">
        <f t="shared" si="1"/>
        <v>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0" customHeight="1">
      <c r="A18" s="12">
        <v>14</v>
      </c>
      <c r="B18" s="7"/>
      <c r="C18" s="12"/>
      <c r="D18" s="12"/>
      <c r="E18" s="12">
        <f t="shared" si="0"/>
        <v>0</v>
      </c>
      <c r="F18" s="12"/>
      <c r="G18" s="13">
        <f t="shared" si="1"/>
        <v>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0" customHeight="1">
      <c r="A19" s="12">
        <v>15</v>
      </c>
      <c r="B19" s="7"/>
      <c r="C19" s="12"/>
      <c r="D19" s="12"/>
      <c r="E19" s="12">
        <f t="shared" si="0"/>
        <v>0</v>
      </c>
      <c r="F19" s="12"/>
      <c r="G19" s="13">
        <f t="shared" si="1"/>
        <v>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0" customHeight="1">
      <c r="A20" s="12">
        <v>16</v>
      </c>
      <c r="B20" s="7"/>
      <c r="C20" s="12"/>
      <c r="D20" s="12"/>
      <c r="E20" s="12">
        <f t="shared" si="0"/>
        <v>0</v>
      </c>
      <c r="F20" s="12"/>
      <c r="G20" s="13">
        <f t="shared" si="1"/>
        <v>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0" customHeight="1">
      <c r="A21" s="12">
        <v>17</v>
      </c>
      <c r="B21" s="7"/>
      <c r="C21" s="12"/>
      <c r="D21" s="12"/>
      <c r="E21" s="12">
        <f t="shared" si="0"/>
        <v>0</v>
      </c>
      <c r="F21" s="12"/>
      <c r="G21" s="13">
        <f t="shared" si="1"/>
        <v>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0" customHeight="1">
      <c r="A22" s="12">
        <v>18</v>
      </c>
      <c r="B22" s="7"/>
      <c r="C22" s="12"/>
      <c r="D22" s="12"/>
      <c r="E22" s="12">
        <f t="shared" si="0"/>
        <v>0</v>
      </c>
      <c r="F22" s="12"/>
      <c r="G22" s="13">
        <f t="shared" si="1"/>
        <v>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0" customHeight="1">
      <c r="A23" s="12">
        <v>19</v>
      </c>
      <c r="B23" s="7"/>
      <c r="C23" s="12"/>
      <c r="D23" s="12"/>
      <c r="E23" s="12">
        <f t="shared" si="0"/>
        <v>0</v>
      </c>
      <c r="F23" s="12"/>
      <c r="G23" s="13">
        <f t="shared" si="1"/>
        <v>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0" customHeight="1">
      <c r="A24" s="12">
        <v>20</v>
      </c>
      <c r="B24" s="7"/>
      <c r="C24" s="12"/>
      <c r="D24" s="12"/>
      <c r="E24" s="12">
        <f t="shared" si="0"/>
        <v>0</v>
      </c>
      <c r="F24" s="12"/>
      <c r="G24" s="13">
        <f t="shared" si="1"/>
        <v>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0" customHeight="1">
      <c r="A25" s="12">
        <v>21</v>
      </c>
      <c r="B25" s="7"/>
      <c r="C25" s="12"/>
      <c r="D25" s="12"/>
      <c r="E25" s="12">
        <f t="shared" si="0"/>
        <v>0</v>
      </c>
      <c r="F25" s="12"/>
      <c r="G25" s="13">
        <f t="shared" si="1"/>
        <v>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0" customHeight="1">
      <c r="A26" s="12">
        <v>22</v>
      </c>
      <c r="B26" s="7"/>
      <c r="C26" s="12"/>
      <c r="D26" s="12"/>
      <c r="E26" s="12">
        <f t="shared" si="0"/>
        <v>0</v>
      </c>
      <c r="F26" s="12"/>
      <c r="G26" s="13">
        <f t="shared" si="1"/>
        <v>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0" customHeight="1">
      <c r="A27" s="12">
        <v>23</v>
      </c>
      <c r="B27" s="7"/>
      <c r="C27" s="12"/>
      <c r="D27" s="12"/>
      <c r="E27" s="12">
        <f t="shared" si="0"/>
        <v>0</v>
      </c>
      <c r="F27" s="12"/>
      <c r="G27" s="13">
        <f t="shared" si="1"/>
        <v>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0" customHeight="1">
      <c r="A28" s="12">
        <v>24</v>
      </c>
      <c r="B28" s="7"/>
      <c r="C28" s="12"/>
      <c r="D28" s="12"/>
      <c r="E28" s="12">
        <f t="shared" si="0"/>
        <v>0</v>
      </c>
      <c r="F28" s="12"/>
      <c r="G28" s="13">
        <f t="shared" si="1"/>
        <v>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0" customHeight="1">
      <c r="A29" s="12">
        <v>25</v>
      </c>
      <c r="B29" s="7"/>
      <c r="C29" s="12"/>
      <c r="D29" s="12"/>
      <c r="E29" s="12">
        <f t="shared" si="0"/>
        <v>0</v>
      </c>
      <c r="F29" s="12"/>
      <c r="G29" s="13">
        <f t="shared" si="1"/>
        <v>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0" customHeight="1">
      <c r="A30" s="12">
        <v>26</v>
      </c>
      <c r="B30" s="7"/>
      <c r="C30" s="12"/>
      <c r="D30" s="12"/>
      <c r="E30" s="12">
        <f t="shared" si="0"/>
        <v>0</v>
      </c>
      <c r="F30" s="12"/>
      <c r="G30" s="13">
        <f t="shared" si="1"/>
        <v>0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0" customHeight="1">
      <c r="A31" s="12">
        <v>27</v>
      </c>
      <c r="B31" s="7"/>
      <c r="C31" s="12"/>
      <c r="D31" s="12"/>
      <c r="E31" s="12">
        <f t="shared" si="0"/>
        <v>0</v>
      </c>
      <c r="F31" s="12"/>
      <c r="G31" s="13">
        <f t="shared" si="1"/>
        <v>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0" customHeight="1">
      <c r="A32" s="12">
        <v>28</v>
      </c>
      <c r="B32" s="7"/>
      <c r="C32" s="12"/>
      <c r="D32" s="12"/>
      <c r="E32" s="12">
        <f t="shared" si="0"/>
        <v>0</v>
      </c>
      <c r="F32" s="12"/>
      <c r="G32" s="13">
        <f t="shared" si="1"/>
        <v>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0" customHeight="1">
      <c r="A33" s="12">
        <v>29</v>
      </c>
      <c r="B33" s="7"/>
      <c r="C33" s="12"/>
      <c r="D33" s="12"/>
      <c r="E33" s="12">
        <f t="shared" si="0"/>
        <v>0</v>
      </c>
      <c r="F33" s="12"/>
      <c r="G33" s="13">
        <f t="shared" si="1"/>
        <v>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0" customHeight="1">
      <c r="A34" s="12">
        <v>30</v>
      </c>
      <c r="B34" s="7"/>
      <c r="C34" s="12"/>
      <c r="D34" s="12"/>
      <c r="E34" s="12">
        <f t="shared" si="0"/>
        <v>0</v>
      </c>
      <c r="F34" s="12"/>
      <c r="G34" s="13">
        <f t="shared" si="1"/>
        <v>0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0" customHeight="1">
      <c r="A35" s="12">
        <v>31</v>
      </c>
      <c r="B35" s="7"/>
      <c r="C35" s="12"/>
      <c r="D35" s="12"/>
      <c r="E35" s="12">
        <f t="shared" si="0"/>
        <v>0</v>
      </c>
      <c r="F35" s="12"/>
      <c r="G35" s="13">
        <f t="shared" si="1"/>
        <v>0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0" customHeight="1">
      <c r="A36" s="12">
        <v>32</v>
      </c>
      <c r="B36" s="7"/>
      <c r="C36" s="12"/>
      <c r="D36" s="12"/>
      <c r="E36" s="12">
        <f t="shared" si="0"/>
        <v>0</v>
      </c>
      <c r="F36" s="12"/>
      <c r="G36" s="13">
        <f t="shared" si="1"/>
        <v>0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0" customHeight="1">
      <c r="A37" s="12">
        <v>33</v>
      </c>
      <c r="B37" s="7"/>
      <c r="C37" s="12"/>
      <c r="D37" s="12"/>
      <c r="E37" s="12">
        <f t="shared" si="0"/>
        <v>0</v>
      </c>
      <c r="F37" s="12"/>
      <c r="G37" s="13">
        <f t="shared" si="1"/>
        <v>0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0" customHeight="1">
      <c r="A38" s="12">
        <v>34</v>
      </c>
      <c r="B38" s="7"/>
      <c r="C38" s="12"/>
      <c r="D38" s="12"/>
      <c r="E38" s="12">
        <f t="shared" si="0"/>
        <v>0</v>
      </c>
      <c r="F38" s="12"/>
      <c r="G38" s="13">
        <f t="shared" si="1"/>
        <v>0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0" customHeight="1">
      <c r="A39" s="12">
        <v>35</v>
      </c>
      <c r="B39" s="7"/>
      <c r="C39" s="12"/>
      <c r="D39" s="12"/>
      <c r="E39" s="12">
        <f t="shared" si="0"/>
        <v>0</v>
      </c>
      <c r="F39" s="12"/>
      <c r="G39" s="13">
        <f t="shared" si="1"/>
        <v>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0" customHeight="1">
      <c r="A40" s="12">
        <v>36</v>
      </c>
      <c r="B40" s="7"/>
      <c r="C40" s="12"/>
      <c r="D40" s="12"/>
      <c r="E40" s="12">
        <f t="shared" si="0"/>
        <v>0</v>
      </c>
      <c r="F40" s="12"/>
      <c r="G40" s="13">
        <f t="shared" si="1"/>
        <v>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0" customHeight="1">
      <c r="A41" s="12">
        <v>37</v>
      </c>
      <c r="B41" s="7"/>
      <c r="C41" s="12"/>
      <c r="D41" s="12"/>
      <c r="E41" s="12">
        <f t="shared" si="0"/>
        <v>0</v>
      </c>
      <c r="F41" s="12"/>
      <c r="G41" s="13">
        <f t="shared" si="1"/>
        <v>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0" customHeight="1">
      <c r="A42" s="12">
        <v>38</v>
      </c>
      <c r="B42" s="7"/>
      <c r="C42" s="12"/>
      <c r="D42" s="12"/>
      <c r="E42" s="12">
        <f t="shared" si="0"/>
        <v>0</v>
      </c>
      <c r="F42" s="12"/>
      <c r="G42" s="13">
        <f t="shared" si="1"/>
        <v>0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0" customHeight="1">
      <c r="A43" s="12">
        <v>39</v>
      </c>
      <c r="B43" s="7"/>
      <c r="C43" s="12"/>
      <c r="D43" s="12"/>
      <c r="E43" s="12">
        <f t="shared" si="0"/>
        <v>0</v>
      </c>
      <c r="F43" s="12"/>
      <c r="G43" s="13">
        <f t="shared" si="1"/>
        <v>0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0" customHeight="1">
      <c r="A44" s="12">
        <v>40</v>
      </c>
      <c r="B44" s="7"/>
      <c r="C44" s="12"/>
      <c r="D44" s="12"/>
      <c r="E44" s="12">
        <f t="shared" si="0"/>
        <v>0</v>
      </c>
      <c r="F44" s="12"/>
      <c r="G44" s="13">
        <f t="shared" si="1"/>
        <v>0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0" customHeight="1">
      <c r="A45" s="12">
        <v>41</v>
      </c>
      <c r="B45" s="7"/>
      <c r="C45" s="12"/>
      <c r="D45" s="12"/>
      <c r="E45" s="12">
        <f t="shared" si="0"/>
        <v>0</v>
      </c>
      <c r="F45" s="12"/>
      <c r="G45" s="13">
        <f t="shared" si="1"/>
        <v>0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0" customHeight="1">
      <c r="A46" s="12">
        <v>42</v>
      </c>
      <c r="B46" s="7"/>
      <c r="C46" s="12"/>
      <c r="D46" s="12"/>
      <c r="E46" s="12">
        <f t="shared" si="0"/>
        <v>0</v>
      </c>
      <c r="F46" s="12"/>
      <c r="G46" s="13">
        <f t="shared" si="1"/>
        <v>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0" customHeight="1">
      <c r="A47" s="12">
        <v>43</v>
      </c>
      <c r="B47" s="7"/>
      <c r="C47" s="12"/>
      <c r="D47" s="12"/>
      <c r="E47" s="12">
        <f t="shared" si="0"/>
        <v>0</v>
      </c>
      <c r="F47" s="12"/>
      <c r="G47" s="13">
        <f t="shared" si="1"/>
        <v>0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0" customHeight="1">
      <c r="A48" s="12">
        <v>44</v>
      </c>
      <c r="B48" s="7"/>
      <c r="C48" s="12"/>
      <c r="D48" s="12"/>
      <c r="E48" s="12">
        <f t="shared" si="0"/>
        <v>0</v>
      </c>
      <c r="F48" s="12"/>
      <c r="G48" s="13">
        <f t="shared" si="1"/>
        <v>0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0" customHeight="1">
      <c r="A49" s="12">
        <v>45</v>
      </c>
      <c r="B49" s="7"/>
      <c r="C49" s="12"/>
      <c r="D49" s="12"/>
      <c r="E49" s="12">
        <f t="shared" si="0"/>
        <v>0</v>
      </c>
      <c r="F49" s="12"/>
      <c r="G49" s="13">
        <f t="shared" si="1"/>
        <v>0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0" customHeight="1">
      <c r="A50" s="12">
        <v>46</v>
      </c>
      <c r="B50" s="7"/>
      <c r="C50" s="12"/>
      <c r="D50" s="12"/>
      <c r="E50" s="12">
        <f t="shared" si="0"/>
        <v>0</v>
      </c>
      <c r="F50" s="12"/>
      <c r="G50" s="13">
        <f t="shared" si="1"/>
        <v>0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0" customHeight="1">
      <c r="A51" s="12">
        <v>47</v>
      </c>
      <c r="B51" s="7"/>
      <c r="C51" s="12"/>
      <c r="D51" s="12"/>
      <c r="E51" s="12">
        <f t="shared" ref="E51:E104" si="2">D51*C51</f>
        <v>0</v>
      </c>
      <c r="F51" s="12"/>
      <c r="G51" s="13">
        <f t="shared" si="1"/>
        <v>0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0" customHeight="1">
      <c r="A52" s="12">
        <v>48</v>
      </c>
      <c r="B52" s="7"/>
      <c r="C52" s="12"/>
      <c r="D52" s="12"/>
      <c r="E52" s="12">
        <f t="shared" si="2"/>
        <v>0</v>
      </c>
      <c r="F52" s="12"/>
      <c r="G52" s="13">
        <f t="shared" si="1"/>
        <v>0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0" customHeight="1">
      <c r="A53" s="12">
        <v>49</v>
      </c>
      <c r="B53" s="7"/>
      <c r="C53" s="12"/>
      <c r="D53" s="12"/>
      <c r="E53" s="12">
        <f t="shared" si="2"/>
        <v>0</v>
      </c>
      <c r="F53" s="12"/>
      <c r="G53" s="13">
        <f t="shared" si="1"/>
        <v>0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0" customHeight="1">
      <c r="A54" s="12">
        <v>50</v>
      </c>
      <c r="B54" s="7"/>
      <c r="C54" s="12"/>
      <c r="D54" s="12"/>
      <c r="E54" s="12">
        <f t="shared" si="2"/>
        <v>0</v>
      </c>
      <c r="F54" s="12"/>
      <c r="G54" s="13">
        <f t="shared" si="1"/>
        <v>0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0" customHeight="1">
      <c r="A55" s="12">
        <v>51</v>
      </c>
      <c r="B55" s="7"/>
      <c r="C55" s="12"/>
      <c r="D55" s="12"/>
      <c r="E55" s="12">
        <f t="shared" si="2"/>
        <v>0</v>
      </c>
      <c r="F55" s="12"/>
      <c r="G55" s="13">
        <f t="shared" si="1"/>
        <v>0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0" customHeight="1">
      <c r="A56" s="12">
        <v>52</v>
      </c>
      <c r="B56" s="7"/>
      <c r="C56" s="12"/>
      <c r="D56" s="12"/>
      <c r="E56" s="12">
        <f t="shared" si="2"/>
        <v>0</v>
      </c>
      <c r="F56" s="12"/>
      <c r="G56" s="13">
        <f t="shared" si="1"/>
        <v>0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0" customHeight="1">
      <c r="A57" s="12">
        <v>53</v>
      </c>
      <c r="B57" s="7"/>
      <c r="C57" s="12"/>
      <c r="D57" s="12"/>
      <c r="E57" s="12">
        <f t="shared" si="2"/>
        <v>0</v>
      </c>
      <c r="F57" s="12"/>
      <c r="G57" s="13">
        <f t="shared" si="1"/>
        <v>0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0" customHeight="1">
      <c r="A58" s="12">
        <v>54</v>
      </c>
      <c r="B58" s="7"/>
      <c r="C58" s="12"/>
      <c r="D58" s="12"/>
      <c r="E58" s="12">
        <f t="shared" si="2"/>
        <v>0</v>
      </c>
      <c r="F58" s="12"/>
      <c r="G58" s="13">
        <f t="shared" si="1"/>
        <v>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0" customHeight="1">
      <c r="A59" s="12">
        <v>55</v>
      </c>
      <c r="B59" s="7"/>
      <c r="C59" s="12"/>
      <c r="D59" s="12"/>
      <c r="E59" s="12">
        <f t="shared" si="2"/>
        <v>0</v>
      </c>
      <c r="F59" s="12"/>
      <c r="G59" s="13">
        <f t="shared" si="1"/>
        <v>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0" customHeight="1">
      <c r="A60" s="12">
        <v>56</v>
      </c>
      <c r="B60" s="7"/>
      <c r="C60" s="12"/>
      <c r="D60" s="12"/>
      <c r="E60" s="12">
        <f t="shared" si="2"/>
        <v>0</v>
      </c>
      <c r="F60" s="12"/>
      <c r="G60" s="13">
        <f t="shared" si="1"/>
        <v>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0" customHeight="1">
      <c r="A61" s="12">
        <v>57</v>
      </c>
      <c r="B61" s="7"/>
      <c r="C61" s="12"/>
      <c r="D61" s="12"/>
      <c r="E61" s="12">
        <f t="shared" si="2"/>
        <v>0</v>
      </c>
      <c r="F61" s="12"/>
      <c r="G61" s="13">
        <f t="shared" si="1"/>
        <v>0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0" customHeight="1">
      <c r="A62" s="12">
        <v>58</v>
      </c>
      <c r="B62" s="7"/>
      <c r="C62" s="12"/>
      <c r="D62" s="12"/>
      <c r="E62" s="12">
        <f t="shared" si="2"/>
        <v>0</v>
      </c>
      <c r="F62" s="12"/>
      <c r="G62" s="13">
        <f t="shared" si="1"/>
        <v>0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0" customHeight="1">
      <c r="A63" s="12">
        <v>59</v>
      </c>
      <c r="B63" s="7"/>
      <c r="C63" s="12"/>
      <c r="D63" s="12"/>
      <c r="E63" s="12">
        <f t="shared" si="2"/>
        <v>0</v>
      </c>
      <c r="F63" s="12"/>
      <c r="G63" s="13">
        <f t="shared" si="1"/>
        <v>0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0" customHeight="1">
      <c r="A64" s="12">
        <v>60</v>
      </c>
      <c r="B64" s="7"/>
      <c r="C64" s="12"/>
      <c r="D64" s="12"/>
      <c r="E64" s="12">
        <f t="shared" si="2"/>
        <v>0</v>
      </c>
      <c r="F64" s="12"/>
      <c r="G64" s="13">
        <f t="shared" si="1"/>
        <v>0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0" customHeight="1">
      <c r="A65" s="12">
        <v>61</v>
      </c>
      <c r="B65" s="7"/>
      <c r="C65" s="12"/>
      <c r="D65" s="12"/>
      <c r="E65" s="12">
        <f t="shared" si="2"/>
        <v>0</v>
      </c>
      <c r="F65" s="12"/>
      <c r="G65" s="13">
        <f t="shared" si="1"/>
        <v>0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0" customHeight="1">
      <c r="A66" s="12">
        <v>62</v>
      </c>
      <c r="B66" s="7"/>
      <c r="C66" s="12"/>
      <c r="D66" s="12"/>
      <c r="E66" s="12">
        <f t="shared" si="2"/>
        <v>0</v>
      </c>
      <c r="F66" s="12"/>
      <c r="G66" s="13">
        <f t="shared" si="1"/>
        <v>0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0" customHeight="1">
      <c r="A67" s="12">
        <v>63</v>
      </c>
      <c r="B67" s="7"/>
      <c r="C67" s="12"/>
      <c r="D67" s="12"/>
      <c r="E67" s="12">
        <f t="shared" si="2"/>
        <v>0</v>
      </c>
      <c r="F67" s="12"/>
      <c r="G67" s="13">
        <f t="shared" si="1"/>
        <v>0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0" customHeight="1">
      <c r="A68" s="12">
        <v>64</v>
      </c>
      <c r="B68" s="7"/>
      <c r="C68" s="12"/>
      <c r="D68" s="12"/>
      <c r="E68" s="12">
        <f t="shared" si="2"/>
        <v>0</v>
      </c>
      <c r="F68" s="12"/>
      <c r="G68" s="13">
        <f t="shared" si="1"/>
        <v>0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0" customHeight="1">
      <c r="A69" s="12">
        <v>65</v>
      </c>
      <c r="B69" s="7"/>
      <c r="C69" s="12"/>
      <c r="D69" s="12"/>
      <c r="E69" s="12">
        <f t="shared" si="2"/>
        <v>0</v>
      </c>
      <c r="F69" s="12"/>
      <c r="G69" s="13">
        <f t="shared" ref="G69:G104" si="3">F69+E69</f>
        <v>0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0" customHeight="1">
      <c r="A70" s="12">
        <v>66</v>
      </c>
      <c r="B70" s="7"/>
      <c r="C70" s="12"/>
      <c r="D70" s="12"/>
      <c r="E70" s="12">
        <f t="shared" si="2"/>
        <v>0</v>
      </c>
      <c r="F70" s="12"/>
      <c r="G70" s="13">
        <f t="shared" si="3"/>
        <v>0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0" customHeight="1">
      <c r="A71" s="12">
        <v>67</v>
      </c>
      <c r="B71" s="7"/>
      <c r="C71" s="12"/>
      <c r="D71" s="12"/>
      <c r="E71" s="12">
        <f t="shared" si="2"/>
        <v>0</v>
      </c>
      <c r="F71" s="12"/>
      <c r="G71" s="13">
        <f t="shared" si="3"/>
        <v>0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0" customHeight="1">
      <c r="A72" s="12">
        <v>68</v>
      </c>
      <c r="B72" s="7"/>
      <c r="C72" s="12"/>
      <c r="D72" s="12"/>
      <c r="E72" s="12">
        <f t="shared" si="2"/>
        <v>0</v>
      </c>
      <c r="F72" s="12"/>
      <c r="G72" s="13">
        <f t="shared" si="3"/>
        <v>0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0" customHeight="1">
      <c r="A73" s="12">
        <v>69</v>
      </c>
      <c r="B73" s="7"/>
      <c r="C73" s="12"/>
      <c r="D73" s="12"/>
      <c r="E73" s="12">
        <f t="shared" si="2"/>
        <v>0</v>
      </c>
      <c r="F73" s="12"/>
      <c r="G73" s="13">
        <f t="shared" si="3"/>
        <v>0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0" customHeight="1">
      <c r="A74" s="12">
        <v>70</v>
      </c>
      <c r="B74" s="7"/>
      <c r="C74" s="12"/>
      <c r="D74" s="12"/>
      <c r="E74" s="12">
        <f t="shared" si="2"/>
        <v>0</v>
      </c>
      <c r="F74" s="12"/>
      <c r="G74" s="13">
        <f t="shared" si="3"/>
        <v>0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0" customHeight="1">
      <c r="A75" s="12">
        <v>71</v>
      </c>
      <c r="B75" s="7"/>
      <c r="C75" s="12"/>
      <c r="D75" s="12"/>
      <c r="E75" s="12">
        <f t="shared" si="2"/>
        <v>0</v>
      </c>
      <c r="F75" s="12"/>
      <c r="G75" s="13">
        <f t="shared" si="3"/>
        <v>0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0" customHeight="1">
      <c r="A76" s="12">
        <v>72</v>
      </c>
      <c r="B76" s="7"/>
      <c r="C76" s="12"/>
      <c r="D76" s="12"/>
      <c r="E76" s="12">
        <f t="shared" si="2"/>
        <v>0</v>
      </c>
      <c r="F76" s="12"/>
      <c r="G76" s="13">
        <f t="shared" si="3"/>
        <v>0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0" customHeight="1">
      <c r="A77" s="12">
        <v>73</v>
      </c>
      <c r="B77" s="7"/>
      <c r="C77" s="12"/>
      <c r="D77" s="12"/>
      <c r="E77" s="12">
        <f t="shared" si="2"/>
        <v>0</v>
      </c>
      <c r="F77" s="12"/>
      <c r="G77" s="13">
        <f t="shared" si="3"/>
        <v>0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0" customHeight="1">
      <c r="A78" s="12">
        <v>74</v>
      </c>
      <c r="B78" s="7"/>
      <c r="C78" s="12"/>
      <c r="D78" s="12"/>
      <c r="E78" s="12">
        <f t="shared" si="2"/>
        <v>0</v>
      </c>
      <c r="F78" s="12"/>
      <c r="G78" s="13">
        <f t="shared" si="3"/>
        <v>0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0" customHeight="1">
      <c r="A79" s="12">
        <v>75</v>
      </c>
      <c r="B79" s="7"/>
      <c r="C79" s="12"/>
      <c r="D79" s="12"/>
      <c r="E79" s="12">
        <f t="shared" si="2"/>
        <v>0</v>
      </c>
      <c r="F79" s="12"/>
      <c r="G79" s="13">
        <f t="shared" si="3"/>
        <v>0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0" customHeight="1">
      <c r="A80" s="12">
        <v>76</v>
      </c>
      <c r="B80" s="7"/>
      <c r="C80" s="12"/>
      <c r="D80" s="12"/>
      <c r="E80" s="12">
        <f t="shared" si="2"/>
        <v>0</v>
      </c>
      <c r="F80" s="12"/>
      <c r="G80" s="13">
        <f t="shared" si="3"/>
        <v>0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0" customHeight="1">
      <c r="A81" s="12">
        <v>77</v>
      </c>
      <c r="B81" s="7"/>
      <c r="C81" s="12"/>
      <c r="D81" s="12"/>
      <c r="E81" s="12">
        <f t="shared" si="2"/>
        <v>0</v>
      </c>
      <c r="F81" s="12"/>
      <c r="G81" s="13">
        <f t="shared" si="3"/>
        <v>0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0" customHeight="1">
      <c r="A82" s="12">
        <v>78</v>
      </c>
      <c r="B82" s="7"/>
      <c r="C82" s="12"/>
      <c r="D82" s="12"/>
      <c r="E82" s="12">
        <f t="shared" si="2"/>
        <v>0</v>
      </c>
      <c r="F82" s="12"/>
      <c r="G82" s="13">
        <f t="shared" si="3"/>
        <v>0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0" customHeight="1">
      <c r="A83" s="12">
        <v>79</v>
      </c>
      <c r="B83" s="7"/>
      <c r="C83" s="12"/>
      <c r="D83" s="12"/>
      <c r="E83" s="12">
        <f t="shared" si="2"/>
        <v>0</v>
      </c>
      <c r="F83" s="12"/>
      <c r="G83" s="13">
        <f t="shared" si="3"/>
        <v>0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0" customHeight="1">
      <c r="A84" s="12">
        <v>80</v>
      </c>
      <c r="B84" s="7"/>
      <c r="C84" s="12"/>
      <c r="D84" s="12"/>
      <c r="E84" s="12">
        <f t="shared" si="2"/>
        <v>0</v>
      </c>
      <c r="F84" s="12"/>
      <c r="G84" s="13">
        <f t="shared" si="3"/>
        <v>0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0" customHeight="1">
      <c r="A85" s="12">
        <v>81</v>
      </c>
      <c r="B85" s="7"/>
      <c r="C85" s="12"/>
      <c r="D85" s="12"/>
      <c r="E85" s="12">
        <f t="shared" si="2"/>
        <v>0</v>
      </c>
      <c r="F85" s="12"/>
      <c r="G85" s="13">
        <f t="shared" si="3"/>
        <v>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0" customHeight="1">
      <c r="A86" s="12">
        <v>82</v>
      </c>
      <c r="B86" s="7"/>
      <c r="C86" s="12"/>
      <c r="D86" s="12"/>
      <c r="E86" s="12">
        <f t="shared" si="2"/>
        <v>0</v>
      </c>
      <c r="F86" s="12"/>
      <c r="G86" s="13">
        <f t="shared" si="3"/>
        <v>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0" customHeight="1">
      <c r="A87" s="12">
        <v>83</v>
      </c>
      <c r="B87" s="7"/>
      <c r="C87" s="12"/>
      <c r="D87" s="12"/>
      <c r="E87" s="12">
        <f t="shared" si="2"/>
        <v>0</v>
      </c>
      <c r="F87" s="12"/>
      <c r="G87" s="13">
        <f t="shared" si="3"/>
        <v>0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0" customHeight="1">
      <c r="A88" s="12">
        <v>84</v>
      </c>
      <c r="B88" s="7"/>
      <c r="C88" s="12"/>
      <c r="D88" s="12"/>
      <c r="E88" s="12">
        <f t="shared" si="2"/>
        <v>0</v>
      </c>
      <c r="F88" s="12"/>
      <c r="G88" s="13">
        <f t="shared" si="3"/>
        <v>0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0" customHeight="1">
      <c r="A89" s="12">
        <v>85</v>
      </c>
      <c r="B89" s="7"/>
      <c r="C89" s="12"/>
      <c r="D89" s="12"/>
      <c r="E89" s="12">
        <f t="shared" si="2"/>
        <v>0</v>
      </c>
      <c r="F89" s="12"/>
      <c r="G89" s="13">
        <f t="shared" si="3"/>
        <v>0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0" customHeight="1">
      <c r="A90" s="12">
        <v>86</v>
      </c>
      <c r="B90" s="7"/>
      <c r="C90" s="12"/>
      <c r="D90" s="12"/>
      <c r="E90" s="12">
        <f t="shared" si="2"/>
        <v>0</v>
      </c>
      <c r="F90" s="12"/>
      <c r="G90" s="13">
        <f t="shared" si="3"/>
        <v>0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0" customHeight="1">
      <c r="A91" s="12">
        <v>87</v>
      </c>
      <c r="B91" s="7"/>
      <c r="C91" s="12"/>
      <c r="D91" s="12"/>
      <c r="E91" s="12">
        <f t="shared" si="2"/>
        <v>0</v>
      </c>
      <c r="F91" s="12"/>
      <c r="G91" s="13">
        <f t="shared" si="3"/>
        <v>0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0" customHeight="1">
      <c r="A92" s="12">
        <v>88</v>
      </c>
      <c r="B92" s="7"/>
      <c r="C92" s="12"/>
      <c r="D92" s="12"/>
      <c r="E92" s="12">
        <f t="shared" si="2"/>
        <v>0</v>
      </c>
      <c r="F92" s="12"/>
      <c r="G92" s="13">
        <f t="shared" si="3"/>
        <v>0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0" customHeight="1">
      <c r="A93" s="12">
        <v>89</v>
      </c>
      <c r="B93" s="7"/>
      <c r="C93" s="12"/>
      <c r="D93" s="12"/>
      <c r="E93" s="12">
        <f t="shared" si="2"/>
        <v>0</v>
      </c>
      <c r="F93" s="12"/>
      <c r="G93" s="13">
        <f t="shared" si="3"/>
        <v>0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0" customHeight="1">
      <c r="A94" s="12">
        <v>90</v>
      </c>
      <c r="B94" s="7"/>
      <c r="C94" s="12"/>
      <c r="D94" s="12"/>
      <c r="E94" s="12">
        <f t="shared" si="2"/>
        <v>0</v>
      </c>
      <c r="F94" s="12"/>
      <c r="G94" s="13">
        <f t="shared" si="3"/>
        <v>0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0" customHeight="1">
      <c r="A95" s="12">
        <v>91</v>
      </c>
      <c r="B95" s="7"/>
      <c r="C95" s="12"/>
      <c r="D95" s="12"/>
      <c r="E95" s="12">
        <f t="shared" si="2"/>
        <v>0</v>
      </c>
      <c r="F95" s="12"/>
      <c r="G95" s="13">
        <f t="shared" si="3"/>
        <v>0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0" customHeight="1">
      <c r="A96" s="12">
        <v>92</v>
      </c>
      <c r="B96" s="7"/>
      <c r="C96" s="12"/>
      <c r="D96" s="12"/>
      <c r="E96" s="12">
        <f t="shared" si="2"/>
        <v>0</v>
      </c>
      <c r="F96" s="12"/>
      <c r="G96" s="13">
        <f t="shared" si="3"/>
        <v>0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0" customHeight="1">
      <c r="A97" s="12">
        <v>93</v>
      </c>
      <c r="B97" s="7"/>
      <c r="C97" s="12"/>
      <c r="D97" s="12"/>
      <c r="E97" s="12">
        <f t="shared" si="2"/>
        <v>0</v>
      </c>
      <c r="F97" s="12"/>
      <c r="G97" s="13">
        <f t="shared" si="3"/>
        <v>0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0" customHeight="1">
      <c r="A98" s="12">
        <v>94</v>
      </c>
      <c r="B98" s="7"/>
      <c r="C98" s="12"/>
      <c r="D98" s="12"/>
      <c r="E98" s="12">
        <f t="shared" si="2"/>
        <v>0</v>
      </c>
      <c r="F98" s="12"/>
      <c r="G98" s="13">
        <f t="shared" si="3"/>
        <v>0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0" customHeight="1">
      <c r="A99" s="12">
        <v>95</v>
      </c>
      <c r="B99" s="7"/>
      <c r="C99" s="12"/>
      <c r="D99" s="12"/>
      <c r="E99" s="12">
        <f t="shared" si="2"/>
        <v>0</v>
      </c>
      <c r="F99" s="12"/>
      <c r="G99" s="13">
        <f t="shared" si="3"/>
        <v>0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0" customHeight="1">
      <c r="A100" s="12">
        <v>96</v>
      </c>
      <c r="B100" s="7"/>
      <c r="C100" s="12"/>
      <c r="D100" s="12"/>
      <c r="E100" s="12">
        <f t="shared" si="2"/>
        <v>0</v>
      </c>
      <c r="F100" s="12"/>
      <c r="G100" s="13">
        <f t="shared" si="3"/>
        <v>0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0" customHeight="1">
      <c r="A101" s="12">
        <v>97</v>
      </c>
      <c r="B101" s="7"/>
      <c r="C101" s="12"/>
      <c r="D101" s="12"/>
      <c r="E101" s="12">
        <f t="shared" si="2"/>
        <v>0</v>
      </c>
      <c r="F101" s="12"/>
      <c r="G101" s="13">
        <f t="shared" si="3"/>
        <v>0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0" customHeight="1">
      <c r="A102" s="12">
        <v>98</v>
      </c>
      <c r="B102" s="7"/>
      <c r="C102" s="12"/>
      <c r="D102" s="12"/>
      <c r="E102" s="12">
        <f t="shared" si="2"/>
        <v>0</v>
      </c>
      <c r="F102" s="12"/>
      <c r="G102" s="13">
        <f t="shared" si="3"/>
        <v>0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0" customHeight="1">
      <c r="A103" s="12">
        <v>99</v>
      </c>
      <c r="B103" s="7"/>
      <c r="C103" s="12"/>
      <c r="D103" s="12"/>
      <c r="E103" s="12">
        <f t="shared" si="2"/>
        <v>0</v>
      </c>
      <c r="F103" s="12"/>
      <c r="G103" s="13">
        <f t="shared" si="3"/>
        <v>0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0" customHeight="1">
      <c r="A104" s="12">
        <v>100</v>
      </c>
      <c r="B104" s="7"/>
      <c r="C104" s="12"/>
      <c r="D104" s="12"/>
      <c r="E104" s="12">
        <f t="shared" si="2"/>
        <v>0</v>
      </c>
      <c r="F104" s="12"/>
      <c r="G104" s="13">
        <f t="shared" si="3"/>
        <v>0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0" customHeight="1">
      <c r="A105" s="26" t="s">
        <v>48</v>
      </c>
      <c r="B105" s="22"/>
      <c r="C105" s="22"/>
      <c r="D105" s="22"/>
      <c r="E105" s="22"/>
      <c r="F105" s="23"/>
      <c r="G105" s="13">
        <f>SUM(G5:G104)</f>
        <v>0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0" customHeight="1">
      <c r="A106" s="9"/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0" customHeight="1">
      <c r="A107" s="9"/>
      <c r="B107" s="1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0" customHeight="1">
      <c r="A108" s="9"/>
      <c r="B108" s="1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0" customHeight="1">
      <c r="A109" s="9"/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0" customHeight="1">
      <c r="A110" s="9"/>
      <c r="B110" s="1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0" customHeight="1">
      <c r="A111" s="9"/>
      <c r="B111" s="1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0" customHeight="1">
      <c r="A112" s="9"/>
      <c r="B112" s="1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0" customHeight="1">
      <c r="A113" s="9"/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0" customHeight="1">
      <c r="A114" s="9"/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0" customHeight="1">
      <c r="A115" s="9"/>
      <c r="B115" s="1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0" customHeight="1">
      <c r="A116" s="9"/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0" customHeight="1">
      <c r="A117" s="9"/>
      <c r="B117" s="1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0" customHeight="1">
      <c r="A118" s="9"/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0" customHeight="1">
      <c r="A119" s="9"/>
      <c r="B119" s="1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0" customHeight="1">
      <c r="A120" s="9"/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0" customHeight="1">
      <c r="A121" s="9"/>
      <c r="B121" s="10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0" customHeight="1">
      <c r="A122" s="9"/>
      <c r="B122" s="10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0" customHeight="1">
      <c r="A123" s="9"/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0" customHeight="1">
      <c r="A124" s="9"/>
      <c r="B124" s="1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0" customHeight="1">
      <c r="A125" s="9"/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0" customHeight="1">
      <c r="A126" s="9"/>
      <c r="B126" s="10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0" customHeight="1">
      <c r="A127" s="9"/>
      <c r="B127" s="1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0" customHeight="1">
      <c r="A128" s="9"/>
      <c r="B128" s="10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0" customHeight="1">
      <c r="A129" s="9"/>
      <c r="B129" s="1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0" customHeight="1">
      <c r="A130" s="9"/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0" customHeight="1">
      <c r="A131" s="9"/>
      <c r="B131" s="1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0" customHeight="1">
      <c r="A132" s="9"/>
      <c r="B132" s="10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0" customHeight="1">
      <c r="A133" s="9"/>
      <c r="B133" s="1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0" customHeight="1">
      <c r="A134" s="9"/>
      <c r="B134" s="10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0" customHeight="1">
      <c r="A135" s="9"/>
      <c r="B135" s="10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0" customHeight="1">
      <c r="A136" s="9"/>
      <c r="B136" s="10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0" customHeight="1">
      <c r="A137" s="9"/>
      <c r="B137" s="10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0" customHeight="1">
      <c r="A138" s="9"/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0" customHeight="1">
      <c r="A139" s="9"/>
      <c r="B139" s="1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0" customHeight="1">
      <c r="A140" s="9"/>
      <c r="B140" s="10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0" customHeight="1">
      <c r="A141" s="9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0" customHeight="1">
      <c r="A142" s="9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0" customHeight="1">
      <c r="A143" s="9"/>
      <c r="B143" s="1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0" customHeight="1">
      <c r="A144" s="9"/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0" customHeight="1">
      <c r="A145" s="9"/>
      <c r="B145" s="1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0" customHeight="1">
      <c r="A146" s="9"/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0" customHeight="1">
      <c r="A147" s="9"/>
      <c r="B147" s="1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0" customHeight="1">
      <c r="A148" s="9"/>
      <c r="B148" s="1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0" customHeight="1">
      <c r="A149" s="9"/>
      <c r="B149" s="10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0" customHeight="1">
      <c r="A150" s="9"/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0" customHeight="1">
      <c r="A151" s="9"/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0" customHeight="1">
      <c r="A152" s="9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0" customHeight="1">
      <c r="A153" s="9"/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0" customHeight="1">
      <c r="A154" s="9"/>
      <c r="B154" s="1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0" customHeight="1">
      <c r="A155" s="9"/>
      <c r="B155" s="1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0" customHeight="1">
      <c r="A156" s="9"/>
      <c r="B156" s="1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0" customHeight="1">
      <c r="A157" s="9"/>
      <c r="B157" s="1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0" customHeight="1">
      <c r="A158" s="9"/>
      <c r="B158" s="1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0" customHeight="1">
      <c r="A159" s="9"/>
      <c r="B159" s="1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0" customHeight="1">
      <c r="A160" s="9"/>
      <c r="B160" s="1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0" customHeight="1">
      <c r="A161" s="9"/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0" customHeight="1">
      <c r="A162" s="9"/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0" customHeight="1">
      <c r="A163" s="9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0" customHeight="1">
      <c r="A164" s="9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0" customHeight="1">
      <c r="A165" s="9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0" customHeight="1">
      <c r="A166" s="9"/>
      <c r="B166" s="1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0" customHeight="1">
      <c r="A167" s="9"/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0" customHeight="1">
      <c r="A168" s="9"/>
      <c r="B168" s="1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0" customHeight="1">
      <c r="A169" s="9"/>
      <c r="B169" s="10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0" customHeight="1">
      <c r="A170" s="9"/>
      <c r="B170" s="1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0" customHeight="1">
      <c r="A171" s="9"/>
      <c r="B171" s="10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0" customHeight="1">
      <c r="A172" s="9"/>
      <c r="B172" s="10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0" customHeight="1">
      <c r="A173" s="9"/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0" customHeight="1">
      <c r="A174" s="9"/>
      <c r="B174" s="10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0" customHeight="1">
      <c r="A175" s="9"/>
      <c r="B175" s="10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0" customHeight="1">
      <c r="A176" s="9"/>
      <c r="B176" s="1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0" customHeight="1">
      <c r="A177" s="9"/>
      <c r="B177" s="1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0" customHeight="1">
      <c r="A178" s="9"/>
      <c r="B178" s="10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0" customHeight="1">
      <c r="A179" s="9"/>
      <c r="B179" s="10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0" customHeight="1">
      <c r="A180" s="9"/>
      <c r="B180" s="1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0" customHeight="1">
      <c r="A181" s="9"/>
      <c r="B181" s="1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0" customHeight="1">
      <c r="A182" s="9"/>
      <c r="B182" s="10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0" customHeight="1">
      <c r="A183" s="9"/>
      <c r="B183" s="10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0" customHeight="1">
      <c r="A184" s="9"/>
      <c r="B184" s="10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0" customHeight="1">
      <c r="A185" s="9"/>
      <c r="B185" s="10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0" customHeight="1">
      <c r="A186" s="9"/>
      <c r="B186" s="10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0" customHeight="1">
      <c r="A187" s="9"/>
      <c r="B187" s="10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0" customHeight="1">
      <c r="A188" s="9"/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0" customHeight="1">
      <c r="A189" s="9"/>
      <c r="B189" s="1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0" customHeight="1">
      <c r="A190" s="9"/>
      <c r="B190" s="10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0" customHeight="1">
      <c r="A191" s="9"/>
      <c r="B191" s="10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0" customHeight="1">
      <c r="A192" s="9"/>
      <c r="B192" s="1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0" customHeight="1">
      <c r="A193" s="9"/>
      <c r="B193" s="1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0" customHeight="1">
      <c r="A194" s="9"/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0" customHeight="1">
      <c r="A195" s="9"/>
      <c r="B195" s="1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0" customHeight="1">
      <c r="A196" s="9"/>
      <c r="B196" s="1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0" customHeight="1">
      <c r="A197" s="9"/>
      <c r="B197" s="1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0" customHeight="1">
      <c r="A198" s="9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0" customHeight="1">
      <c r="A199" s="9"/>
      <c r="B199" s="1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0" customHeight="1">
      <c r="A200" s="9"/>
      <c r="B200" s="1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7">
      <c r="A201" s="9"/>
      <c r="B201" s="1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7">
      <c r="A202" s="9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7">
      <c r="A203" s="9"/>
      <c r="B203" s="1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7">
      <c r="A204" s="9"/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7">
      <c r="A205" s="9"/>
      <c r="B205" s="1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7">
      <c r="A206" s="9"/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7">
      <c r="A207" s="9"/>
      <c r="B207" s="1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7">
      <c r="A208" s="9"/>
      <c r="B208" s="1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7">
      <c r="A209" s="9"/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7">
      <c r="A210" s="9"/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7">
      <c r="A211" s="9"/>
      <c r="B211" s="1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7">
      <c r="A212" s="9"/>
      <c r="B212" s="1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7">
      <c r="A213" s="9"/>
      <c r="B213" s="1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7">
      <c r="A214" s="9"/>
      <c r="B214" s="1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7">
      <c r="A215" s="9"/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7">
      <c r="A216" s="9"/>
      <c r="B216" s="1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7">
      <c r="A217" s="9"/>
      <c r="B217" s="10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7">
      <c r="A218" s="9"/>
      <c r="B218" s="10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7">
      <c r="A219" s="9"/>
      <c r="B219" s="10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7">
      <c r="A220" s="9"/>
      <c r="B220" s="10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7">
      <c r="A221" s="9"/>
      <c r="B221" s="10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7">
      <c r="A222" s="9"/>
      <c r="B222" s="10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7">
      <c r="A223" s="9"/>
      <c r="B223" s="10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7">
      <c r="A224" s="9"/>
      <c r="B224" s="10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7">
      <c r="A225" s="9"/>
      <c r="B225" s="10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7">
      <c r="A226" s="9"/>
      <c r="B226" s="10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7">
      <c r="A227" s="9"/>
      <c r="B227" s="10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7">
      <c r="A228" s="9"/>
      <c r="B228" s="10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7">
      <c r="A229" s="9"/>
      <c r="B229" s="10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7">
      <c r="A230" s="9"/>
      <c r="B230" s="10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7">
      <c r="A231" s="9"/>
      <c r="B231" s="10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7">
      <c r="A232" s="9"/>
      <c r="B232" s="10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7">
      <c r="A233" s="9"/>
      <c r="B233" s="10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7">
      <c r="A234" s="9"/>
      <c r="B234" s="1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7">
      <c r="A235" s="9"/>
      <c r="B235" s="10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7">
      <c r="A236" s="9"/>
      <c r="B236" s="10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7">
      <c r="A237" s="9"/>
      <c r="B237" s="10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7">
      <c r="A238" s="9"/>
      <c r="B238" s="10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7">
      <c r="A239" s="9"/>
      <c r="B239" s="10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7">
      <c r="A240" s="9"/>
      <c r="B240" s="10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7">
      <c r="A241" s="9"/>
      <c r="B241" s="10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7">
      <c r="A242" s="9"/>
      <c r="B242" s="10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7">
      <c r="A243" s="9"/>
      <c r="B243" s="10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7">
      <c r="A244" s="9"/>
      <c r="B244" s="10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7">
      <c r="A245" s="9"/>
      <c r="B245" s="10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7">
      <c r="A246" s="9"/>
      <c r="B246" s="10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7">
      <c r="A247" s="9"/>
      <c r="B247" s="10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7">
      <c r="A248" s="9"/>
      <c r="B248" s="10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7">
      <c r="A249" s="9"/>
      <c r="B249" s="10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7">
      <c r="A250" s="9"/>
      <c r="B250" s="10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7">
      <c r="A251" s="9"/>
      <c r="B251" s="10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7">
      <c r="A252" s="9"/>
      <c r="B252" s="10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7">
      <c r="A253" s="9"/>
      <c r="B253" s="10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7">
      <c r="A254" s="9"/>
      <c r="B254" s="10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7">
      <c r="A255" s="9"/>
      <c r="B255" s="10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7">
      <c r="A256" s="9"/>
      <c r="B256" s="10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7">
      <c r="A257" s="9"/>
      <c r="B257" s="1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7">
      <c r="A258" s="9"/>
      <c r="B258" s="10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7">
      <c r="A259" s="9"/>
      <c r="B259" s="10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7">
      <c r="A260" s="9"/>
      <c r="B260" s="10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7">
      <c r="A261" s="9"/>
      <c r="B261" s="10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7">
      <c r="A262" s="9"/>
      <c r="B262" s="10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7">
      <c r="A263" s="9"/>
      <c r="B263" s="10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7">
      <c r="A264" s="9"/>
      <c r="B264" s="10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7">
      <c r="A265" s="9"/>
      <c r="B265" s="10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7">
      <c r="A266" s="9"/>
      <c r="B266" s="10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7">
      <c r="A267" s="9"/>
      <c r="B267" s="10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7">
      <c r="A268" s="9"/>
      <c r="B268" s="10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7">
      <c r="A269" s="9"/>
      <c r="B269" s="10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7">
      <c r="A270" s="9"/>
      <c r="B270" s="10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7">
      <c r="A271" s="9"/>
      <c r="B271" s="10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7">
      <c r="A272" s="9"/>
      <c r="B272" s="10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7">
      <c r="A273" s="9"/>
      <c r="B273" s="10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7">
      <c r="A274" s="9"/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7">
      <c r="A275" s="9"/>
      <c r="B275" s="10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7">
      <c r="A276" s="9"/>
      <c r="B276" s="10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7">
      <c r="A277" s="9"/>
      <c r="B277" s="10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7">
      <c r="A278" s="9"/>
      <c r="B278" s="10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7">
      <c r="A279" s="9"/>
      <c r="B279" s="10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7">
      <c r="A280" s="9"/>
      <c r="B280" s="10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7">
      <c r="A281" s="9"/>
      <c r="B281" s="10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7">
      <c r="A282" s="9"/>
      <c r="B282" s="10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7">
      <c r="A283" s="9"/>
      <c r="B283" s="10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7">
      <c r="A284" s="9"/>
      <c r="B284" s="10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7">
      <c r="A285" s="9"/>
      <c r="B285" s="10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7">
      <c r="A286" s="9"/>
      <c r="B286" s="10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7">
      <c r="A287" s="9"/>
      <c r="B287" s="10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7">
      <c r="A288" s="9"/>
      <c r="B288" s="10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7">
      <c r="A289" s="9"/>
      <c r="B289" s="10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7">
      <c r="A290" s="9"/>
      <c r="B290" s="10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7">
      <c r="A291" s="9"/>
      <c r="B291" s="10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7">
      <c r="A292" s="9"/>
      <c r="B292" s="10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7">
      <c r="A293" s="9"/>
      <c r="B293" s="10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7">
      <c r="A294" s="9"/>
      <c r="B294" s="10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7">
      <c r="A295" s="9"/>
      <c r="B295" s="10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7">
      <c r="A296" s="9"/>
      <c r="B296" s="10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7">
      <c r="A297" s="9"/>
      <c r="B297" s="10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7">
      <c r="A298" s="9"/>
      <c r="B298" s="10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7">
      <c r="A299" s="9"/>
      <c r="B299" s="10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7">
      <c r="A300" s="9"/>
      <c r="B300" s="10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7">
      <c r="A301" s="9"/>
      <c r="B301" s="10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7">
      <c r="A302" s="9"/>
      <c r="B302" s="10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7">
      <c r="A303" s="9"/>
      <c r="B303" s="10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7">
      <c r="A304" s="9"/>
      <c r="B304" s="10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7">
      <c r="A305" s="9"/>
      <c r="B305" s="10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7">
      <c r="A306" s="9"/>
      <c r="B306" s="10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7">
      <c r="A307" s="9"/>
      <c r="B307" s="10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7">
      <c r="A308" s="9"/>
      <c r="B308" s="10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7">
      <c r="A309" s="9"/>
      <c r="B309" s="10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7">
      <c r="A310" s="9"/>
      <c r="B310" s="10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7">
      <c r="A311" s="9"/>
      <c r="B311" s="10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7">
      <c r="A312" s="9"/>
      <c r="B312" s="10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7">
      <c r="A313" s="9"/>
      <c r="B313" s="10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7">
      <c r="A314" s="9"/>
      <c r="B314" s="10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7">
      <c r="A315" s="9"/>
      <c r="B315" s="10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7">
      <c r="A316" s="9"/>
      <c r="B316" s="10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7">
      <c r="A317" s="9"/>
      <c r="B317" s="10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7">
      <c r="A318" s="9"/>
      <c r="B318" s="10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7">
      <c r="A319" s="9"/>
      <c r="B319" s="10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7">
      <c r="A320" s="9"/>
      <c r="B320" s="10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7">
      <c r="A321" s="9"/>
      <c r="B321" s="10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7">
      <c r="A322" s="9"/>
      <c r="B322" s="10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7">
      <c r="A323" s="9"/>
      <c r="B323" s="10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7">
      <c r="A324" s="9"/>
      <c r="B324" s="10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7">
      <c r="A325" s="9"/>
      <c r="B325" s="10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7">
      <c r="A326" s="9"/>
      <c r="B326" s="10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7">
      <c r="A327" s="9"/>
      <c r="B327" s="10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7">
      <c r="A328" s="9"/>
      <c r="B328" s="10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7">
      <c r="A329" s="9"/>
      <c r="B329" s="10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7">
      <c r="A330" s="9"/>
      <c r="B330" s="10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7">
      <c r="A331" s="9"/>
      <c r="B331" s="10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7">
      <c r="A332" s="9"/>
      <c r="B332" s="10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7">
      <c r="A333" s="9"/>
      <c r="B333" s="10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7">
      <c r="A334" s="9"/>
      <c r="B334" s="10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7">
      <c r="A335" s="9"/>
      <c r="B335" s="10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7">
      <c r="A336" s="9"/>
      <c r="B336" s="10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7">
      <c r="A337" s="9"/>
      <c r="B337" s="10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7">
      <c r="A338" s="9"/>
      <c r="B338" s="10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7">
      <c r="A339" s="9"/>
      <c r="B339" s="10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7">
      <c r="A340" s="9"/>
      <c r="B340" s="10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7">
      <c r="A341" s="9"/>
      <c r="B341" s="10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7">
      <c r="A342" s="9"/>
      <c r="B342" s="10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7">
      <c r="A343" s="9"/>
      <c r="B343" s="10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7">
      <c r="A344" s="9"/>
      <c r="B344" s="10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7">
      <c r="A345" s="9"/>
      <c r="B345" s="10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7">
      <c r="A346" s="9"/>
      <c r="B346" s="10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7">
      <c r="A347" s="9"/>
      <c r="B347" s="10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7">
      <c r="A348" s="9"/>
      <c r="B348" s="10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7">
      <c r="A349" s="9"/>
      <c r="B349" s="10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7">
      <c r="A350" s="9"/>
      <c r="B350" s="10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7">
      <c r="A351" s="9"/>
      <c r="B351" s="10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7">
      <c r="A352" s="9"/>
      <c r="B352" s="10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7">
      <c r="A353" s="9"/>
      <c r="B353" s="10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7">
      <c r="A354" s="9"/>
      <c r="B354" s="10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7">
      <c r="A355" s="9"/>
      <c r="B355" s="10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7">
      <c r="A356" s="9"/>
      <c r="B356" s="10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7">
      <c r="A357" s="9"/>
      <c r="B357" s="10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7">
      <c r="A358" s="9"/>
      <c r="B358" s="10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7">
      <c r="A359" s="9"/>
      <c r="B359" s="10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7">
      <c r="A360" s="9"/>
      <c r="B360" s="10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7">
      <c r="A361" s="9"/>
      <c r="B361" s="10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7">
      <c r="A362" s="9"/>
      <c r="B362" s="10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7">
      <c r="A363" s="9"/>
      <c r="B363" s="10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7">
      <c r="A364" s="9"/>
      <c r="B364" s="10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7">
      <c r="A365" s="9"/>
      <c r="B365" s="10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7">
      <c r="A366" s="9"/>
      <c r="B366" s="10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7">
      <c r="A367" s="9"/>
      <c r="B367" s="10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7">
      <c r="A368" s="9"/>
      <c r="B368" s="10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7">
      <c r="A369" s="9"/>
      <c r="B369" s="10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7">
      <c r="A370" s="9"/>
      <c r="B370" s="10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7">
      <c r="A371" s="9"/>
      <c r="B371" s="10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7">
      <c r="A372" s="9"/>
      <c r="B372" s="10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7">
      <c r="A373" s="9"/>
      <c r="B373" s="10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7">
      <c r="A374" s="9"/>
      <c r="B374" s="10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7">
      <c r="A375" s="9"/>
      <c r="B375" s="10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7">
      <c r="A376" s="9"/>
      <c r="B376" s="10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7">
      <c r="A377" s="9"/>
      <c r="B377" s="10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7">
      <c r="A378" s="9"/>
      <c r="B378" s="10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7">
      <c r="A379" s="9"/>
      <c r="B379" s="10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7">
      <c r="A380" s="9"/>
      <c r="B380" s="10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7">
      <c r="A381" s="9"/>
      <c r="B381" s="10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7">
      <c r="A382" s="9"/>
      <c r="B382" s="10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7">
      <c r="A383" s="9"/>
      <c r="B383" s="10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7">
      <c r="A384" s="9"/>
      <c r="B384" s="10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7">
      <c r="A385" s="9"/>
      <c r="B385" s="10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7">
      <c r="A386" s="9"/>
      <c r="B386" s="10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7">
      <c r="A387" s="9"/>
      <c r="B387" s="10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7">
      <c r="A388" s="9"/>
      <c r="B388" s="10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7">
      <c r="A389" s="9"/>
      <c r="B389" s="10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7">
      <c r="A390" s="9"/>
      <c r="B390" s="10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7">
      <c r="A391" s="9"/>
      <c r="B391" s="10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7">
      <c r="A392" s="9"/>
      <c r="B392" s="10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7">
      <c r="A393" s="9"/>
      <c r="B393" s="10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7">
      <c r="A394" s="9"/>
      <c r="B394" s="10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7">
      <c r="A395" s="9"/>
      <c r="B395" s="10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7">
      <c r="A396" s="9"/>
      <c r="B396" s="10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7">
      <c r="A397" s="9"/>
      <c r="B397" s="10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7">
      <c r="A398" s="9"/>
      <c r="B398" s="10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7">
      <c r="A399" s="9"/>
      <c r="B399" s="10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7">
      <c r="A400" s="9"/>
      <c r="B400" s="10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7">
      <c r="A401" s="9"/>
      <c r="B401" s="10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7">
      <c r="A402" s="9"/>
      <c r="B402" s="10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7">
      <c r="A403" s="9"/>
      <c r="B403" s="10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7">
      <c r="A404" s="9"/>
      <c r="B404" s="10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7">
      <c r="A405" s="9"/>
      <c r="B405" s="10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7">
      <c r="A406" s="9"/>
      <c r="B406" s="10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7">
      <c r="A407" s="9"/>
      <c r="B407" s="10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7">
      <c r="A408" s="9"/>
      <c r="B408" s="10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7">
      <c r="A409" s="9"/>
      <c r="B409" s="10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7">
      <c r="A410" s="9"/>
      <c r="B410" s="10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7">
      <c r="A411" s="9"/>
      <c r="B411" s="10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7">
      <c r="A412" s="9"/>
      <c r="B412" s="10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7">
      <c r="A413" s="9"/>
      <c r="B413" s="10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7">
      <c r="A414" s="9"/>
      <c r="B414" s="10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7">
      <c r="A415" s="9"/>
      <c r="B415" s="10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7">
      <c r="A416" s="9"/>
      <c r="B416" s="10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7">
      <c r="A417" s="9"/>
      <c r="B417" s="10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7">
      <c r="A418" s="9"/>
      <c r="B418" s="10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7">
      <c r="A419" s="9"/>
      <c r="B419" s="10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7">
      <c r="A420" s="9"/>
      <c r="B420" s="10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7">
      <c r="A421" s="9"/>
      <c r="B421" s="10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7">
      <c r="A422" s="9"/>
      <c r="B422" s="10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7">
      <c r="A423" s="9"/>
      <c r="B423" s="10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7">
      <c r="A424" s="9"/>
      <c r="B424" s="10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7">
      <c r="A425" s="9"/>
      <c r="B425" s="10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7">
      <c r="A426" s="9"/>
      <c r="B426" s="10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7">
      <c r="A427" s="9"/>
      <c r="B427" s="10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7">
      <c r="A428" s="9"/>
      <c r="B428" s="10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7">
      <c r="A429" s="9"/>
      <c r="B429" s="10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7">
      <c r="A430" s="9"/>
      <c r="B430" s="10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7">
      <c r="A431" s="9"/>
      <c r="B431" s="10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7">
      <c r="A432" s="9"/>
      <c r="B432" s="10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7">
      <c r="A433" s="9"/>
      <c r="B433" s="10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7">
      <c r="A434" s="9"/>
      <c r="B434" s="10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7">
      <c r="A435" s="9"/>
      <c r="B435" s="10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7">
      <c r="A436" s="9"/>
      <c r="B436" s="10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7">
      <c r="A437" s="9"/>
      <c r="B437" s="10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7">
      <c r="A438" s="9"/>
      <c r="B438" s="10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7">
      <c r="A439" s="9"/>
      <c r="B439" s="10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7">
      <c r="A440" s="9"/>
      <c r="B440" s="10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7">
      <c r="A441" s="9"/>
      <c r="B441" s="10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7">
      <c r="A442" s="9"/>
      <c r="B442" s="10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7">
      <c r="A443" s="9"/>
      <c r="B443" s="10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7">
      <c r="A444" s="9"/>
      <c r="B444" s="10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7">
      <c r="A445" s="9"/>
      <c r="B445" s="10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7">
      <c r="A446" s="9"/>
      <c r="B446" s="10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7">
      <c r="A447" s="9"/>
      <c r="B447" s="10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7">
      <c r="A448" s="9"/>
      <c r="B448" s="10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7">
      <c r="A449" s="9"/>
      <c r="B449" s="10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7">
      <c r="A450" s="9"/>
      <c r="B450" s="10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7">
      <c r="A451" s="9"/>
      <c r="B451" s="10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7">
      <c r="A452" s="9"/>
      <c r="B452" s="10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7">
      <c r="A453" s="9"/>
      <c r="B453" s="10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7">
      <c r="A454" s="9"/>
      <c r="B454" s="10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7">
      <c r="A455" s="9"/>
      <c r="B455" s="10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7">
      <c r="A456" s="9"/>
      <c r="B456" s="10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7">
      <c r="A457" s="9"/>
      <c r="B457" s="10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7">
      <c r="A458" s="9"/>
      <c r="B458" s="10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7">
      <c r="A459" s="9"/>
      <c r="B459" s="10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7">
      <c r="A460" s="9"/>
      <c r="B460" s="10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7">
      <c r="A461" s="9"/>
      <c r="B461" s="10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7">
      <c r="A462" s="9"/>
      <c r="B462" s="10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7">
      <c r="A463" s="9"/>
      <c r="B463" s="10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7">
      <c r="A464" s="9"/>
      <c r="B464" s="10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7">
      <c r="A465" s="9"/>
      <c r="B465" s="10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7">
      <c r="A466" s="9"/>
      <c r="B466" s="10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7">
      <c r="A467" s="9"/>
      <c r="B467" s="10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7">
      <c r="A468" s="9"/>
      <c r="B468" s="10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7">
      <c r="A469" s="9"/>
      <c r="B469" s="10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7">
      <c r="A470" s="9"/>
      <c r="B470" s="10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7">
      <c r="A471" s="9"/>
      <c r="B471" s="10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7">
      <c r="A472" s="9"/>
      <c r="B472" s="10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7">
      <c r="A473" s="9"/>
      <c r="B473" s="10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7">
      <c r="A474" s="9"/>
      <c r="B474" s="10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7">
      <c r="A475" s="9"/>
      <c r="B475" s="10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7">
      <c r="A476" s="9"/>
      <c r="B476" s="10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7">
      <c r="A477" s="9"/>
      <c r="B477" s="10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7">
      <c r="A478" s="9"/>
      <c r="B478" s="10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7">
      <c r="A479" s="9"/>
      <c r="B479" s="10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7">
      <c r="A480" s="9"/>
      <c r="B480" s="10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7">
      <c r="A481" s="9"/>
      <c r="B481" s="10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7">
      <c r="A482" s="9"/>
      <c r="B482" s="10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7">
      <c r="A483" s="9"/>
      <c r="B483" s="10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7">
      <c r="A484" s="9"/>
      <c r="B484" s="10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7">
      <c r="A485" s="9"/>
      <c r="B485" s="10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7">
      <c r="A486" s="9"/>
      <c r="B486" s="10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7">
      <c r="A487" s="9"/>
      <c r="B487" s="10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7">
      <c r="A488" s="9"/>
      <c r="B488" s="10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7">
      <c r="A489" s="9"/>
      <c r="B489" s="10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7">
      <c r="A490" s="9"/>
      <c r="B490" s="10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7">
      <c r="A491" s="9"/>
      <c r="B491" s="10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7">
      <c r="A492" s="9"/>
      <c r="B492" s="10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7">
      <c r="A493" s="9"/>
      <c r="B493" s="10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7">
      <c r="A494" s="9"/>
      <c r="B494" s="10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7">
      <c r="A495" s="9"/>
      <c r="B495" s="10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7">
      <c r="A496" s="9"/>
      <c r="B496" s="10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7">
      <c r="A497" s="9"/>
      <c r="B497" s="10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7">
      <c r="A498" s="9"/>
      <c r="B498" s="10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7">
      <c r="A499" s="9"/>
      <c r="B499" s="10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7">
      <c r="A500" s="9"/>
      <c r="B500" s="10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7">
      <c r="A501" s="9"/>
      <c r="B501" s="10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7">
      <c r="A502" s="9"/>
      <c r="B502" s="10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7">
      <c r="A503" s="9"/>
      <c r="B503" s="10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7">
      <c r="A504" s="9"/>
      <c r="B504" s="10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7">
      <c r="A505" s="9"/>
      <c r="B505" s="10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7">
      <c r="A506" s="9"/>
      <c r="B506" s="10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7">
      <c r="A507" s="9"/>
      <c r="B507" s="10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7">
      <c r="A508" s="9"/>
      <c r="B508" s="10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7">
      <c r="A509" s="9"/>
      <c r="B509" s="10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7">
      <c r="A510" s="9"/>
      <c r="B510" s="10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7">
      <c r="A511" s="9"/>
      <c r="B511" s="10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7">
      <c r="A512" s="9"/>
      <c r="B512" s="10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7">
      <c r="A513" s="9"/>
      <c r="B513" s="10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7">
      <c r="A514" s="9"/>
      <c r="B514" s="10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7">
      <c r="A515" s="9"/>
      <c r="B515" s="10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7">
      <c r="A516" s="9"/>
      <c r="B516" s="10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7">
      <c r="A517" s="9"/>
      <c r="B517" s="10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7">
      <c r="A518" s="9"/>
      <c r="B518" s="10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7">
      <c r="A519" s="9"/>
      <c r="B519" s="10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7">
      <c r="A520" s="9"/>
      <c r="B520" s="10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7">
      <c r="A521" s="9"/>
      <c r="B521" s="10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7">
      <c r="A522" s="9"/>
      <c r="B522" s="10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7">
      <c r="A523" s="9"/>
      <c r="B523" s="10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7">
      <c r="A524" s="9"/>
      <c r="B524" s="10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7">
      <c r="A525" s="9"/>
      <c r="B525" s="10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7">
      <c r="A526" s="9"/>
      <c r="B526" s="10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7">
      <c r="A527" s="9"/>
      <c r="B527" s="10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7">
      <c r="A528" s="9"/>
      <c r="B528" s="10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7">
      <c r="A529" s="9"/>
      <c r="B529" s="10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7">
      <c r="A530" s="9"/>
      <c r="B530" s="10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7">
      <c r="A531" s="9"/>
      <c r="B531" s="10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7">
      <c r="A532" s="9"/>
      <c r="B532" s="10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7">
      <c r="A533" s="9"/>
      <c r="B533" s="10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7">
      <c r="A534" s="9"/>
      <c r="B534" s="10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7">
      <c r="A535" s="9"/>
      <c r="B535" s="10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7">
      <c r="A536" s="9"/>
      <c r="B536" s="10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7">
      <c r="A537" s="9"/>
      <c r="B537" s="10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7">
      <c r="A538" s="9"/>
      <c r="B538" s="10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7">
      <c r="A539" s="9"/>
      <c r="B539" s="10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7">
      <c r="A540" s="9"/>
      <c r="B540" s="10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7">
      <c r="A541" s="9"/>
      <c r="B541" s="10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7">
      <c r="A542" s="9"/>
      <c r="B542" s="10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7">
      <c r="A543" s="9"/>
      <c r="B543" s="10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7">
      <c r="A544" s="9"/>
      <c r="B544" s="10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7">
      <c r="A545" s="9"/>
      <c r="B545" s="10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7">
      <c r="A546" s="9"/>
      <c r="B546" s="10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7">
      <c r="A547" s="9"/>
      <c r="B547" s="10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7">
      <c r="A548" s="9"/>
      <c r="B548" s="10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7">
      <c r="A549" s="9"/>
      <c r="B549" s="10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7">
      <c r="A550" s="9"/>
      <c r="B550" s="10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7">
      <c r="A551" s="9"/>
      <c r="B551" s="10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7">
      <c r="A552" s="9"/>
      <c r="B552" s="10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7">
      <c r="A553" s="9"/>
      <c r="B553" s="10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7">
      <c r="A554" s="9"/>
      <c r="B554" s="10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7">
      <c r="A555" s="9"/>
      <c r="B555" s="10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7">
      <c r="A556" s="9"/>
      <c r="B556" s="10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7">
      <c r="A557" s="9"/>
      <c r="B557" s="10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7">
      <c r="A558" s="9"/>
      <c r="B558" s="10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7">
      <c r="A559" s="9"/>
      <c r="B559" s="10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7">
      <c r="A560" s="9"/>
      <c r="B560" s="10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7">
      <c r="A561" s="9"/>
      <c r="B561" s="10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7">
      <c r="A562" s="9"/>
      <c r="B562" s="10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7">
      <c r="A563" s="9"/>
      <c r="B563" s="10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7">
      <c r="A564" s="9"/>
      <c r="B564" s="10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7">
      <c r="A565" s="9"/>
      <c r="B565" s="10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7">
      <c r="A566" s="9"/>
      <c r="B566" s="10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7">
      <c r="A567" s="9"/>
      <c r="B567" s="10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7">
      <c r="A568" s="9"/>
      <c r="B568" s="10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7">
      <c r="A569" s="9"/>
      <c r="B569" s="10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7">
      <c r="A570" s="9"/>
      <c r="B570" s="10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7">
      <c r="A571" s="9"/>
      <c r="B571" s="10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7">
      <c r="A572" s="9"/>
      <c r="B572" s="10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7">
      <c r="A573" s="9"/>
      <c r="B573" s="10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7">
      <c r="A574" s="9"/>
      <c r="B574" s="10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7">
      <c r="A575" s="9"/>
      <c r="B575" s="10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7">
      <c r="A576" s="9"/>
      <c r="B576" s="10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7">
      <c r="A577" s="9"/>
      <c r="B577" s="10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7">
      <c r="A578" s="9"/>
      <c r="B578" s="10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7">
      <c r="A579" s="9"/>
      <c r="B579" s="10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7">
      <c r="A580" s="9"/>
      <c r="B580" s="10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7">
      <c r="A581" s="9"/>
      <c r="B581" s="10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7">
      <c r="A582" s="9"/>
      <c r="B582" s="10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7">
      <c r="A583" s="9"/>
      <c r="B583" s="10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7">
      <c r="A584" s="9"/>
      <c r="B584" s="10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7">
      <c r="A585" s="9"/>
      <c r="B585" s="10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7">
      <c r="A586" s="9"/>
      <c r="B586" s="10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7">
      <c r="A587" s="9"/>
      <c r="B587" s="10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7">
      <c r="A588" s="9"/>
      <c r="B588" s="10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7">
      <c r="A589" s="9"/>
      <c r="B589" s="10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7">
      <c r="A590" s="9"/>
      <c r="B590" s="10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7">
      <c r="A591" s="9"/>
      <c r="B591" s="10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7">
      <c r="A592" s="9"/>
      <c r="B592" s="10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7">
      <c r="A593" s="9"/>
      <c r="B593" s="10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7">
      <c r="A594" s="9"/>
      <c r="B594" s="10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7">
      <c r="A595" s="9"/>
      <c r="B595" s="10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7">
      <c r="A596" s="9"/>
      <c r="B596" s="10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7">
      <c r="A597" s="9"/>
      <c r="B597" s="10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7">
      <c r="A598" s="9"/>
      <c r="B598" s="10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7">
      <c r="A599" s="9"/>
      <c r="B599" s="10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7">
      <c r="A600" s="9"/>
      <c r="B600" s="10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7">
      <c r="A601" s="9"/>
      <c r="B601" s="10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7">
      <c r="A602" s="9"/>
      <c r="B602" s="10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7">
      <c r="A603" s="9"/>
      <c r="B603" s="10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7">
      <c r="A604" s="9"/>
      <c r="B604" s="10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7">
      <c r="A605" s="9"/>
      <c r="B605" s="10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7">
      <c r="A606" s="9"/>
      <c r="B606" s="10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7">
      <c r="A607" s="9"/>
      <c r="B607" s="10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7">
      <c r="A608" s="9"/>
      <c r="B608" s="10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7">
      <c r="A609" s="9"/>
      <c r="B609" s="10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7">
      <c r="A610" s="9"/>
      <c r="B610" s="10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7">
      <c r="A611" s="9"/>
      <c r="B611" s="10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7">
      <c r="A612" s="9"/>
      <c r="B612" s="10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7">
      <c r="A613" s="9"/>
      <c r="B613" s="10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7">
      <c r="A614" s="9"/>
      <c r="B614" s="10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7">
      <c r="A615" s="9"/>
      <c r="B615" s="10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7">
      <c r="A616" s="9"/>
      <c r="B616" s="10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7">
      <c r="A617" s="9"/>
      <c r="B617" s="10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7">
      <c r="A618" s="9"/>
      <c r="B618" s="10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7">
      <c r="A619" s="9"/>
      <c r="B619" s="10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7">
      <c r="A620" s="9"/>
      <c r="B620" s="10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7">
      <c r="A621" s="9"/>
      <c r="B621" s="10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7">
      <c r="A622" s="9"/>
      <c r="B622" s="10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7">
      <c r="A623" s="9"/>
      <c r="B623" s="10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7">
      <c r="A624" s="9"/>
      <c r="B624" s="10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7">
      <c r="A625" s="9"/>
      <c r="B625" s="10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7">
      <c r="A626" s="9"/>
      <c r="B626" s="10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7">
      <c r="A627" s="9"/>
      <c r="B627" s="10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7">
      <c r="A628" s="9"/>
      <c r="B628" s="10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7">
      <c r="A629" s="9"/>
      <c r="B629" s="10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7">
      <c r="A630" s="9"/>
      <c r="B630" s="10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7">
      <c r="A631" s="9"/>
      <c r="B631" s="10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7">
      <c r="A632" s="9"/>
      <c r="B632" s="10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7">
      <c r="A633" s="9"/>
      <c r="B633" s="10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7">
      <c r="A634" s="9"/>
      <c r="B634" s="10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7">
      <c r="A635" s="9"/>
      <c r="B635" s="10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7">
      <c r="A636" s="9"/>
      <c r="B636" s="10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7">
      <c r="A637" s="9"/>
      <c r="B637" s="10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7">
      <c r="A638" s="9"/>
      <c r="B638" s="10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7">
      <c r="A639" s="9"/>
      <c r="B639" s="10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7">
      <c r="A640" s="9"/>
      <c r="B640" s="10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7">
      <c r="A641" s="9"/>
      <c r="B641" s="10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7">
      <c r="A642" s="9"/>
      <c r="B642" s="10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7">
      <c r="A643" s="9"/>
      <c r="B643" s="10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7">
      <c r="A644" s="9"/>
      <c r="B644" s="10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7">
      <c r="A645" s="9"/>
      <c r="B645" s="10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7">
      <c r="A646" s="9"/>
      <c r="B646" s="10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7">
      <c r="A647" s="9"/>
      <c r="B647" s="10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7">
      <c r="A648" s="9"/>
      <c r="B648" s="10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7">
      <c r="A649" s="9"/>
      <c r="B649" s="10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7">
      <c r="A650" s="9"/>
      <c r="B650" s="10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7">
      <c r="A651" s="9"/>
      <c r="B651" s="10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7">
      <c r="A652" s="9"/>
      <c r="B652" s="10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7">
      <c r="A653" s="9"/>
      <c r="B653" s="10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7">
      <c r="A654" s="9"/>
      <c r="B654" s="10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7">
      <c r="A655" s="9"/>
      <c r="B655" s="10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7">
      <c r="A656" s="9"/>
      <c r="B656" s="10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7">
      <c r="A657" s="9"/>
      <c r="B657" s="10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7">
      <c r="A658" s="9"/>
      <c r="B658" s="10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7">
      <c r="A659" s="9"/>
      <c r="B659" s="10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7">
      <c r="A660" s="9"/>
      <c r="B660" s="10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7">
      <c r="A661" s="9"/>
      <c r="B661" s="10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7">
      <c r="A662" s="9"/>
      <c r="B662" s="10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7">
      <c r="A663" s="9"/>
      <c r="B663" s="10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7">
      <c r="A664" s="9"/>
      <c r="B664" s="10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7">
      <c r="A665" s="9"/>
      <c r="B665" s="10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7">
      <c r="A666" s="9"/>
      <c r="B666" s="10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7">
      <c r="A667" s="9"/>
      <c r="B667" s="10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7">
      <c r="A668" s="9"/>
      <c r="B668" s="10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7">
      <c r="A669" s="9"/>
      <c r="B669" s="10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7">
      <c r="A670" s="9"/>
      <c r="B670" s="10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7">
      <c r="A671" s="9"/>
      <c r="B671" s="10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7">
      <c r="A672" s="9"/>
      <c r="B672" s="10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7">
      <c r="A673" s="9"/>
      <c r="B673" s="10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7">
      <c r="A674" s="9"/>
      <c r="B674" s="10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7">
      <c r="A675" s="9"/>
      <c r="B675" s="10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7">
      <c r="A676" s="9"/>
      <c r="B676" s="10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7">
      <c r="A677" s="9"/>
      <c r="B677" s="10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7">
      <c r="A678" s="9"/>
      <c r="B678" s="10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7">
      <c r="A679" s="9"/>
      <c r="B679" s="10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7">
      <c r="A680" s="9"/>
      <c r="B680" s="10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7">
      <c r="A681" s="9"/>
      <c r="B681" s="10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7">
      <c r="A682" s="9"/>
      <c r="B682" s="10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7">
      <c r="A683" s="9"/>
      <c r="B683" s="10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7">
      <c r="A684" s="9"/>
      <c r="B684" s="10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7">
      <c r="A685" s="9"/>
      <c r="B685" s="10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7">
      <c r="A686" s="9"/>
      <c r="B686" s="10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7">
      <c r="A687" s="9"/>
      <c r="B687" s="10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7">
      <c r="A688" s="9"/>
      <c r="B688" s="10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7">
      <c r="A689" s="9"/>
      <c r="B689" s="10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7">
      <c r="A690" s="9"/>
      <c r="B690" s="10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7">
      <c r="A691" s="9"/>
      <c r="B691" s="10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7">
      <c r="A692" s="9"/>
      <c r="B692" s="10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7">
      <c r="A693" s="9"/>
      <c r="B693" s="10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7">
      <c r="A694" s="9"/>
      <c r="B694" s="10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7">
      <c r="A695" s="9"/>
      <c r="B695" s="10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7">
      <c r="A696" s="9"/>
      <c r="B696" s="10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7">
      <c r="A697" s="9"/>
      <c r="B697" s="10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7">
      <c r="A698" s="9"/>
      <c r="B698" s="10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7">
      <c r="A699" s="9"/>
      <c r="B699" s="10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7">
      <c r="A700" s="9"/>
      <c r="B700" s="10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7">
      <c r="A701" s="9"/>
      <c r="B701" s="10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7">
      <c r="A702" s="9"/>
      <c r="B702" s="10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7">
      <c r="A703" s="9"/>
      <c r="B703" s="10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7">
      <c r="A704" s="9"/>
      <c r="B704" s="10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7">
      <c r="A705" s="9"/>
      <c r="B705" s="10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7">
      <c r="A706" s="9"/>
      <c r="B706" s="10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7">
      <c r="A707" s="9"/>
      <c r="B707" s="10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7">
      <c r="A708" s="9"/>
      <c r="B708" s="10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7">
      <c r="A709" s="9"/>
      <c r="B709" s="10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7">
      <c r="A710" s="9"/>
      <c r="B710" s="10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7">
      <c r="A711" s="9"/>
      <c r="B711" s="10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7">
      <c r="A712" s="9"/>
      <c r="B712" s="10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7">
      <c r="A713" s="9"/>
      <c r="B713" s="10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7">
      <c r="A714" s="9"/>
      <c r="B714" s="10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7">
      <c r="A715" s="9"/>
      <c r="B715" s="10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7">
      <c r="A716" s="9"/>
      <c r="B716" s="10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7">
      <c r="A717" s="9"/>
      <c r="B717" s="10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7">
      <c r="A718" s="9"/>
      <c r="B718" s="10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7">
      <c r="A719" s="9"/>
      <c r="B719" s="10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7">
      <c r="A720" s="9"/>
      <c r="B720" s="10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7">
      <c r="A721" s="9"/>
      <c r="B721" s="10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7">
      <c r="A722" s="9"/>
      <c r="B722" s="10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7">
      <c r="A723" s="9"/>
      <c r="B723" s="10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7">
      <c r="A724" s="9"/>
      <c r="B724" s="10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7">
      <c r="A725" s="9"/>
      <c r="B725" s="10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7">
      <c r="A726" s="9"/>
      <c r="B726" s="10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7">
      <c r="A727" s="9"/>
      <c r="B727" s="10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7">
      <c r="A728" s="9"/>
      <c r="B728" s="10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7">
      <c r="A729" s="9"/>
      <c r="B729" s="10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7">
      <c r="A730" s="9"/>
      <c r="B730" s="10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7">
      <c r="A731" s="9"/>
      <c r="B731" s="10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7">
      <c r="A732" s="9"/>
      <c r="B732" s="10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7">
      <c r="A733" s="9"/>
      <c r="B733" s="10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7">
      <c r="A734" s="9"/>
      <c r="B734" s="10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7">
      <c r="A735" s="9"/>
      <c r="B735" s="10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7">
      <c r="A736" s="9"/>
      <c r="B736" s="10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7">
      <c r="A737" s="9"/>
      <c r="B737" s="10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7">
      <c r="A738" s="9"/>
      <c r="B738" s="10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7">
      <c r="A739" s="9"/>
      <c r="B739" s="10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7">
      <c r="A740" s="9"/>
      <c r="B740" s="10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7">
      <c r="A741" s="9"/>
      <c r="B741" s="10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7">
      <c r="A742" s="9"/>
      <c r="B742" s="10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7">
      <c r="A743" s="9"/>
      <c r="B743" s="10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7">
      <c r="A744" s="9"/>
      <c r="B744" s="10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7">
      <c r="A745" s="9"/>
      <c r="B745" s="10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7">
      <c r="A746" s="9"/>
      <c r="B746" s="10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7">
      <c r="A747" s="9"/>
      <c r="B747" s="10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7">
      <c r="A748" s="9"/>
      <c r="B748" s="10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7">
      <c r="A749" s="9"/>
      <c r="B749" s="10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7">
      <c r="A750" s="9"/>
      <c r="B750" s="10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7">
      <c r="A751" s="9"/>
      <c r="B751" s="10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7">
      <c r="A752" s="9"/>
      <c r="B752" s="10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7">
      <c r="A753" s="9"/>
      <c r="B753" s="10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7">
      <c r="A754" s="9"/>
      <c r="B754" s="10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7">
      <c r="A755" s="9"/>
      <c r="B755" s="10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7">
      <c r="A756" s="9"/>
      <c r="B756" s="10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7">
      <c r="A757" s="9"/>
      <c r="B757" s="10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7">
      <c r="A758" s="9"/>
      <c r="B758" s="10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7">
      <c r="A759" s="9"/>
      <c r="B759" s="10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7">
      <c r="A760" s="9"/>
      <c r="B760" s="10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7">
      <c r="A761" s="9"/>
      <c r="B761" s="10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7">
      <c r="A762" s="9"/>
      <c r="B762" s="10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7">
      <c r="A763" s="9"/>
      <c r="B763" s="10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7">
      <c r="A764" s="9"/>
      <c r="B764" s="10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7">
      <c r="A765" s="9"/>
      <c r="B765" s="10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7">
      <c r="A766" s="9"/>
      <c r="B766" s="10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7">
      <c r="A767" s="9"/>
      <c r="B767" s="10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7">
      <c r="A768" s="9"/>
      <c r="B768" s="10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7">
      <c r="A769" s="9"/>
      <c r="B769" s="10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7">
      <c r="A770" s="9"/>
      <c r="B770" s="10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7">
      <c r="A771" s="9"/>
      <c r="B771" s="10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7">
      <c r="A772" s="9"/>
      <c r="B772" s="10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7">
      <c r="A773" s="9"/>
      <c r="B773" s="10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7">
      <c r="A774" s="9"/>
      <c r="B774" s="10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7">
      <c r="A775" s="9"/>
      <c r="B775" s="10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7">
      <c r="A776" s="9"/>
      <c r="B776" s="10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7">
      <c r="A777" s="9"/>
      <c r="B777" s="10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7">
      <c r="A778" s="9"/>
      <c r="B778" s="10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7">
      <c r="A779" s="9"/>
      <c r="B779" s="10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7">
      <c r="A780" s="9"/>
      <c r="B780" s="10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7">
      <c r="A781" s="9"/>
      <c r="B781" s="10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7">
      <c r="A782" s="9"/>
      <c r="B782" s="10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7">
      <c r="A783" s="9"/>
      <c r="B783" s="10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7">
      <c r="A784" s="9"/>
      <c r="B784" s="10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7">
      <c r="A785" s="9"/>
      <c r="B785" s="10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7">
      <c r="A786" s="9"/>
      <c r="B786" s="10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7">
      <c r="A787" s="9"/>
      <c r="B787" s="10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7">
      <c r="A788" s="9"/>
      <c r="B788" s="10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7">
      <c r="A789" s="9"/>
      <c r="B789" s="10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7">
      <c r="A790" s="9"/>
      <c r="B790" s="10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7">
      <c r="A791" s="9"/>
      <c r="B791" s="10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7">
      <c r="A792" s="9"/>
      <c r="B792" s="10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7">
      <c r="A793" s="9"/>
      <c r="B793" s="10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7">
      <c r="A794" s="9"/>
      <c r="B794" s="10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7">
      <c r="A795" s="9"/>
      <c r="B795" s="10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7">
      <c r="A796" s="9"/>
      <c r="B796" s="10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7">
      <c r="A797" s="9"/>
      <c r="B797" s="10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7">
      <c r="A798" s="9"/>
      <c r="B798" s="10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7">
      <c r="A799" s="9"/>
      <c r="B799" s="10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7">
      <c r="A800" s="9"/>
      <c r="B800" s="10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7">
      <c r="A801" s="9"/>
      <c r="B801" s="10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7">
      <c r="A802" s="9"/>
      <c r="B802" s="10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7">
      <c r="A803" s="9"/>
      <c r="B803" s="10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7">
      <c r="A804" s="9"/>
      <c r="B804" s="10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7">
      <c r="A805" s="9"/>
      <c r="B805" s="10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7">
      <c r="A806" s="9"/>
      <c r="B806" s="10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7">
      <c r="A807" s="9"/>
      <c r="B807" s="10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7">
      <c r="A808" s="9"/>
      <c r="B808" s="10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7">
      <c r="A809" s="9"/>
      <c r="B809" s="10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7">
      <c r="A810" s="9"/>
      <c r="B810" s="10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7">
      <c r="A811" s="9"/>
      <c r="B811" s="10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7">
      <c r="A812" s="9"/>
      <c r="B812" s="10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7">
      <c r="A813" s="9"/>
      <c r="B813" s="10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7">
      <c r="A814" s="9"/>
      <c r="B814" s="10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7">
      <c r="A815" s="9"/>
      <c r="B815" s="10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7">
      <c r="A816" s="9"/>
      <c r="B816" s="10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7">
      <c r="A817" s="9"/>
      <c r="B817" s="10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7">
      <c r="A818" s="9"/>
      <c r="B818" s="10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7">
      <c r="A819" s="9"/>
      <c r="B819" s="10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7">
      <c r="A820" s="9"/>
      <c r="B820" s="10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7">
      <c r="A821" s="9"/>
      <c r="B821" s="10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7">
      <c r="A822" s="9"/>
      <c r="B822" s="10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7">
      <c r="A823" s="9"/>
      <c r="B823" s="10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7">
      <c r="A824" s="9"/>
      <c r="B824" s="10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7">
      <c r="A825" s="9"/>
      <c r="B825" s="10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7">
      <c r="A826" s="9"/>
      <c r="B826" s="10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7">
      <c r="A827" s="9"/>
      <c r="B827" s="10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7">
      <c r="A828" s="9"/>
      <c r="B828" s="10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7">
      <c r="A829" s="9"/>
      <c r="B829" s="10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7">
      <c r="A830" s="9"/>
      <c r="B830" s="10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7">
      <c r="A831" s="9"/>
      <c r="B831" s="10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7">
      <c r="A832" s="9"/>
      <c r="B832" s="10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7">
      <c r="A833" s="9"/>
      <c r="B833" s="10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7">
      <c r="A834" s="9"/>
      <c r="B834" s="10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7">
      <c r="A835" s="9"/>
      <c r="B835" s="10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7">
      <c r="A836" s="9"/>
      <c r="B836" s="10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7">
      <c r="A837" s="9"/>
      <c r="B837" s="10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7">
      <c r="A838" s="9"/>
      <c r="B838" s="10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7">
      <c r="A839" s="9"/>
      <c r="B839" s="10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7">
      <c r="A840" s="9"/>
      <c r="B840" s="10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7">
      <c r="A841" s="9"/>
      <c r="B841" s="10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7">
      <c r="A842" s="9"/>
      <c r="B842" s="10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7">
      <c r="A843" s="9"/>
      <c r="B843" s="10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7">
      <c r="A844" s="9"/>
      <c r="B844" s="10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7">
      <c r="A845" s="9"/>
      <c r="B845" s="10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7">
      <c r="A846" s="9"/>
      <c r="B846" s="10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7">
      <c r="A847" s="9"/>
      <c r="B847" s="10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7">
      <c r="A848" s="9"/>
      <c r="B848" s="10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7">
      <c r="A849" s="9"/>
      <c r="B849" s="10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7">
      <c r="A850" s="9"/>
      <c r="B850" s="10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7">
      <c r="A851" s="9"/>
      <c r="B851" s="10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7">
      <c r="A852" s="9"/>
      <c r="B852" s="10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7">
      <c r="A853" s="9"/>
      <c r="B853" s="10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7">
      <c r="A854" s="9"/>
      <c r="B854" s="10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7">
      <c r="A855" s="9"/>
      <c r="B855" s="10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7">
      <c r="A856" s="9"/>
      <c r="B856" s="10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7">
      <c r="A857" s="9"/>
      <c r="B857" s="10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7">
      <c r="A858" s="9"/>
      <c r="B858" s="10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7">
      <c r="A859" s="9"/>
      <c r="B859" s="10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7">
      <c r="A860" s="9"/>
      <c r="B860" s="10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7">
      <c r="A861" s="9"/>
      <c r="B861" s="10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7">
      <c r="A862" s="9"/>
      <c r="B862" s="10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7">
      <c r="A863" s="9"/>
      <c r="B863" s="10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7">
      <c r="A864" s="9"/>
      <c r="B864" s="10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7">
      <c r="A865" s="9"/>
      <c r="B865" s="10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7">
      <c r="A866" s="9"/>
      <c r="B866" s="10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7">
      <c r="A867" s="9"/>
      <c r="B867" s="10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7">
      <c r="A868" s="9"/>
      <c r="B868" s="10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7">
      <c r="A869" s="9"/>
      <c r="B869" s="10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7">
      <c r="A870" s="9"/>
      <c r="B870" s="10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7">
      <c r="A871" s="9"/>
      <c r="B871" s="10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7">
      <c r="A872" s="9"/>
      <c r="B872" s="10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7">
      <c r="A873" s="9"/>
      <c r="B873" s="10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7">
      <c r="A874" s="9"/>
      <c r="B874" s="10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7">
      <c r="A875" s="9"/>
      <c r="B875" s="10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7">
      <c r="A876" s="9"/>
      <c r="B876" s="10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7">
      <c r="A877" s="9"/>
      <c r="B877" s="10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7">
      <c r="A878" s="9"/>
      <c r="B878" s="10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7">
      <c r="A879" s="9"/>
      <c r="B879" s="10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7">
      <c r="A880" s="9"/>
      <c r="B880" s="10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7">
      <c r="A881" s="9"/>
      <c r="B881" s="10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7">
      <c r="A882" s="9"/>
      <c r="B882" s="10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7">
      <c r="A883" s="9"/>
      <c r="B883" s="10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7">
      <c r="A884" s="9"/>
      <c r="B884" s="10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7">
      <c r="A885" s="9"/>
      <c r="B885" s="10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7">
      <c r="A886" s="9"/>
      <c r="B886" s="10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7">
      <c r="A887" s="9"/>
      <c r="B887" s="10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7">
      <c r="A888" s="9"/>
      <c r="B888" s="10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7">
      <c r="A889" s="9"/>
      <c r="B889" s="10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7">
      <c r="A890" s="9"/>
      <c r="B890" s="10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7">
      <c r="A891" s="9"/>
      <c r="B891" s="10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7">
      <c r="A892" s="9"/>
      <c r="B892" s="10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7">
      <c r="A893" s="9"/>
      <c r="B893" s="10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7">
      <c r="A894" s="9"/>
      <c r="B894" s="10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7">
      <c r="A895" s="9"/>
      <c r="B895" s="10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7">
      <c r="A896" s="9"/>
      <c r="B896" s="10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7">
      <c r="A897" s="9"/>
      <c r="B897" s="10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7">
      <c r="A898" s="9"/>
      <c r="B898" s="10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7">
      <c r="A899" s="9"/>
      <c r="B899" s="10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7">
      <c r="A900" s="9"/>
      <c r="B900" s="10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7">
      <c r="A901" s="9"/>
      <c r="B901" s="10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7">
      <c r="A902" s="9"/>
      <c r="B902" s="10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7">
      <c r="A903" s="9"/>
      <c r="B903" s="10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7">
      <c r="A904" s="9"/>
      <c r="B904" s="10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7">
      <c r="A905" s="9"/>
      <c r="B905" s="10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7">
      <c r="A906" s="9"/>
      <c r="B906" s="10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7">
      <c r="A907" s="9"/>
      <c r="B907" s="10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7">
      <c r="A908" s="9"/>
      <c r="B908" s="10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7">
      <c r="A909" s="9"/>
      <c r="B909" s="10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7">
      <c r="A910" s="9"/>
      <c r="B910" s="10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7">
      <c r="A911" s="9"/>
      <c r="B911" s="10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7">
      <c r="A912" s="9"/>
      <c r="B912" s="10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7">
      <c r="A913" s="9"/>
      <c r="B913" s="10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7">
      <c r="A914" s="9"/>
      <c r="B914" s="10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7">
      <c r="A915" s="9"/>
      <c r="B915" s="10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7">
      <c r="A916" s="9"/>
      <c r="B916" s="10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7">
      <c r="A917" s="9"/>
      <c r="B917" s="10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7">
      <c r="A918" s="9"/>
      <c r="B918" s="10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7">
      <c r="A919" s="9"/>
      <c r="B919" s="10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7">
      <c r="A920" s="9"/>
      <c r="B920" s="10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7">
      <c r="A921" s="9"/>
      <c r="B921" s="10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7">
      <c r="A922" s="9"/>
      <c r="B922" s="10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7">
      <c r="A923" s="9"/>
      <c r="B923" s="10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7">
      <c r="A924" s="9"/>
      <c r="B924" s="10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7">
      <c r="A925" s="9"/>
      <c r="B925" s="10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7">
      <c r="A926" s="9"/>
      <c r="B926" s="10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7">
      <c r="A927" s="9"/>
      <c r="B927" s="10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7">
      <c r="A928" s="9"/>
      <c r="B928" s="10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7">
      <c r="A929" s="9"/>
      <c r="B929" s="10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7">
      <c r="A930" s="9"/>
      <c r="B930" s="10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7">
      <c r="A931" s="9"/>
      <c r="B931" s="10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7">
      <c r="A932" s="9"/>
      <c r="B932" s="10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7">
      <c r="A933" s="9"/>
      <c r="B933" s="10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7">
      <c r="A934" s="9"/>
      <c r="B934" s="10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7">
      <c r="A935" s="9"/>
      <c r="B935" s="10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7">
      <c r="A936" s="9"/>
      <c r="B936" s="10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7">
      <c r="A937" s="9"/>
      <c r="B937" s="10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7">
      <c r="A938" s="9"/>
      <c r="B938" s="10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7">
      <c r="A939" s="9"/>
      <c r="B939" s="10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7">
      <c r="A940" s="9"/>
      <c r="B940" s="10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7">
      <c r="A941" s="9"/>
      <c r="B941" s="10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7">
      <c r="A942" s="9"/>
      <c r="B942" s="10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7">
      <c r="A943" s="9"/>
      <c r="B943" s="10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7">
      <c r="A944" s="9"/>
      <c r="B944" s="10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7">
      <c r="A945" s="9"/>
      <c r="B945" s="10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7">
      <c r="A946" s="9"/>
      <c r="B946" s="10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7">
      <c r="A947" s="9"/>
      <c r="B947" s="10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7">
      <c r="A948" s="9"/>
      <c r="B948" s="10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7">
      <c r="A949" s="9"/>
      <c r="B949" s="10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7">
      <c r="A950" s="9"/>
      <c r="B950" s="10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7">
      <c r="A951" s="9"/>
      <c r="B951" s="10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7">
      <c r="A952" s="9"/>
      <c r="B952" s="10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7">
      <c r="A953" s="9"/>
      <c r="B953" s="10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7">
      <c r="A954" s="9"/>
      <c r="B954" s="10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7">
      <c r="A955" s="9"/>
      <c r="B955" s="10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7">
      <c r="A956" s="9"/>
      <c r="B956" s="10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7">
      <c r="A957" s="9"/>
      <c r="B957" s="10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7">
      <c r="A958" s="9"/>
      <c r="B958" s="10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7">
      <c r="A959" s="9"/>
      <c r="B959" s="10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7">
      <c r="A960" s="9"/>
      <c r="B960" s="10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7">
      <c r="A961" s="9"/>
      <c r="B961" s="10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7">
      <c r="A962" s="9"/>
      <c r="B962" s="10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7">
      <c r="A963" s="9"/>
      <c r="B963" s="10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7">
      <c r="A964" s="9"/>
      <c r="B964" s="10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7">
      <c r="A965" s="9"/>
      <c r="B965" s="10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7">
      <c r="A966" s="9"/>
      <c r="B966" s="10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7">
      <c r="A967" s="9"/>
      <c r="B967" s="10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7">
      <c r="A968" s="9"/>
      <c r="B968" s="10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7">
      <c r="A969" s="9"/>
      <c r="B969" s="10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7">
      <c r="A970" s="9"/>
      <c r="B970" s="10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7">
      <c r="A971" s="9"/>
      <c r="B971" s="10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7">
      <c r="A972" s="9"/>
      <c r="B972" s="10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7">
      <c r="A973" s="9"/>
      <c r="B973" s="10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7">
      <c r="A974" s="9"/>
      <c r="B974" s="10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7">
      <c r="A975" s="9"/>
      <c r="B975" s="10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7">
      <c r="A976" s="9"/>
      <c r="B976" s="10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7">
      <c r="A977" s="9"/>
      <c r="B977" s="10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7">
      <c r="A978" s="9"/>
      <c r="B978" s="10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7">
      <c r="A979" s="9"/>
      <c r="B979" s="10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7">
      <c r="A980" s="9"/>
      <c r="B980" s="10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7">
      <c r="A981" s="9"/>
      <c r="B981" s="10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7">
      <c r="A982" s="9"/>
      <c r="B982" s="10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7">
      <c r="A983" s="9"/>
      <c r="B983" s="10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7">
      <c r="A984" s="9"/>
      <c r="B984" s="10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7">
      <c r="A985" s="9"/>
      <c r="B985" s="10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7">
      <c r="A986" s="9"/>
      <c r="B986" s="10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7">
      <c r="A987" s="9"/>
      <c r="B987" s="10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7">
      <c r="A988" s="9"/>
      <c r="B988" s="10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7">
      <c r="A989" s="9"/>
      <c r="B989" s="10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7">
      <c r="A990" s="9"/>
      <c r="B990" s="10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7">
      <c r="A991" s="9"/>
      <c r="B991" s="10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7">
      <c r="A992" s="9"/>
      <c r="B992" s="10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7">
      <c r="A993" s="9"/>
      <c r="B993" s="10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7">
      <c r="A994" s="9"/>
      <c r="B994" s="10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7">
      <c r="A995" s="9"/>
      <c r="B995" s="10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7">
      <c r="A996" s="9"/>
      <c r="B996" s="10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7">
      <c r="A997" s="9"/>
      <c r="B997" s="10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7">
      <c r="A998" s="9"/>
      <c r="B998" s="10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7">
      <c r="A999" s="9"/>
      <c r="B999" s="10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7">
      <c r="A1000" s="9"/>
      <c r="B1000" s="10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">
    <mergeCell ref="A2:G2"/>
    <mergeCell ref="A105:F10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16"/>
  <sheetViews>
    <sheetView showGridLines="0" workbookViewId="0">
      <selection activeCell="A2" sqref="A2:C2"/>
    </sheetView>
  </sheetViews>
  <sheetFormatPr baseColWidth="10" defaultColWidth="12.6328125" defaultRowHeight="15" customHeight="1"/>
  <cols>
    <col min="1" max="1" width="8.26953125" customWidth="1"/>
    <col min="2" max="2" width="47.453125" customWidth="1"/>
  </cols>
  <sheetData>
    <row r="1" spans="1:26" ht="37.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7.5" customHeight="1">
      <c r="A2" s="25" t="s">
        <v>49</v>
      </c>
      <c r="B2" s="21"/>
      <c r="C2" s="2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7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7.5" customHeight="1">
      <c r="A4" s="15" t="s">
        <v>1</v>
      </c>
      <c r="B4" s="15" t="s">
        <v>50</v>
      </c>
      <c r="C4" s="3" t="s">
        <v>51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37.5" customHeight="1">
      <c r="A5" s="17">
        <v>1</v>
      </c>
      <c r="B5" s="18" t="s">
        <v>52</v>
      </c>
      <c r="C5" s="17">
        <f>Contributions!AX81-Dépenses!G105</f>
        <v>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7.5" customHeight="1">
      <c r="A6" s="17">
        <v>2</v>
      </c>
      <c r="B6" s="19"/>
      <c r="C6" s="17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7.5" customHeight="1">
      <c r="A7" s="17">
        <v>3</v>
      </c>
      <c r="B7" s="18"/>
      <c r="C7" s="17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7.5" customHeight="1">
      <c r="A8" s="17">
        <v>4</v>
      </c>
      <c r="B8" s="18"/>
      <c r="C8" s="17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7.5" customHeight="1">
      <c r="A9" s="17">
        <v>5</v>
      </c>
      <c r="B9" s="18"/>
      <c r="C9" s="1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7.5" customHeight="1">
      <c r="A10" s="17">
        <v>6</v>
      </c>
      <c r="B10" s="18"/>
      <c r="C10" s="17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7.5" customHeight="1">
      <c r="A11" s="17">
        <v>7</v>
      </c>
      <c r="B11" s="18"/>
      <c r="C11" s="17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7.5" customHeight="1">
      <c r="A12" s="17">
        <v>8</v>
      </c>
      <c r="B12" s="18"/>
      <c r="C12" s="17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7.5" customHeight="1">
      <c r="A13" s="17">
        <v>9</v>
      </c>
      <c r="B13" s="18"/>
      <c r="C13" s="17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7.5" customHeight="1">
      <c r="A14" s="17">
        <v>10</v>
      </c>
      <c r="B14" s="18"/>
      <c r="C14" s="17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7.5" customHeight="1">
      <c r="A15" s="17">
        <v>11</v>
      </c>
      <c r="B15" s="18"/>
      <c r="C15" s="17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7.5" customHeight="1">
      <c r="A16" s="17">
        <v>12</v>
      </c>
      <c r="B16" s="18"/>
      <c r="C16" s="1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7.5" customHeight="1">
      <c r="A17" s="17">
        <v>13</v>
      </c>
      <c r="B17" s="18"/>
      <c r="C17" s="17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7.5" customHeight="1">
      <c r="A18" s="17">
        <v>14</v>
      </c>
      <c r="B18" s="18"/>
      <c r="C18" s="1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7.5" customHeight="1">
      <c r="A19" s="17">
        <v>15</v>
      </c>
      <c r="B19" s="18"/>
      <c r="C19" s="17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7.5" customHeight="1">
      <c r="A20" s="17">
        <v>16</v>
      </c>
      <c r="B20" s="18"/>
      <c r="C20" s="17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7.5" customHeight="1">
      <c r="A21" s="17">
        <v>17</v>
      </c>
      <c r="B21" s="18"/>
      <c r="C21" s="17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7.5" customHeight="1">
      <c r="A22" s="17">
        <v>18</v>
      </c>
      <c r="B22" s="18"/>
      <c r="C22" s="17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7.5" customHeight="1">
      <c r="A23" s="17">
        <v>19</v>
      </c>
      <c r="B23" s="18"/>
      <c r="C23" s="17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7.5" customHeight="1">
      <c r="A24" s="17">
        <v>20</v>
      </c>
      <c r="B24" s="18"/>
      <c r="C24" s="17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7.5" customHeight="1">
      <c r="A25" s="17">
        <v>21</v>
      </c>
      <c r="B25" s="18"/>
      <c r="C25" s="17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7.5" customHeight="1">
      <c r="A26" s="17">
        <v>22</v>
      </c>
      <c r="B26" s="18"/>
      <c r="C26" s="17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7.5" customHeight="1">
      <c r="A27" s="17">
        <v>23</v>
      </c>
      <c r="B27" s="18"/>
      <c r="C27" s="17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7.5" customHeight="1">
      <c r="A28" s="17">
        <v>24</v>
      </c>
      <c r="B28" s="18"/>
      <c r="C28" s="17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7.5" customHeight="1">
      <c r="A29" s="17">
        <v>25</v>
      </c>
      <c r="B29" s="18"/>
      <c r="C29" s="17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7.5" customHeight="1">
      <c r="A30" s="17">
        <v>26</v>
      </c>
      <c r="B30" s="18"/>
      <c r="C30" s="17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7.5" customHeight="1">
      <c r="A31" s="26" t="s">
        <v>49</v>
      </c>
      <c r="B31" s="23"/>
      <c r="C31" s="13">
        <f>SUM(C5:C30)</f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7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7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7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7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7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7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7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7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7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7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7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7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7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7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7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7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7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7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7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7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7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7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7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7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7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7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7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7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7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7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7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7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7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7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7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7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7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7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7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7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7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7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7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7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7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7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7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7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7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7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7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7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7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7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7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7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7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7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7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7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7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7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7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7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7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7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7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7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7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7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7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7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7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7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7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7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7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7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7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7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7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7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7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7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7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7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7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7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7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7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7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7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7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7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7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7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7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7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7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7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7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7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7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7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7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7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7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7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7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7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7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7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7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7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7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7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7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7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7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7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7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7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7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7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7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7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7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7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7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7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7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7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7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7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7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7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7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7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7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7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7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7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7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7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7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7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7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7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7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7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7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7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7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7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7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7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7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7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7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7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7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7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7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7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7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7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7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7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7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7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7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7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7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7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7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7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7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7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7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7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7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7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7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7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7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7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7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7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7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7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7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7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7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7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7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7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7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7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7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7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7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7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7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7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7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7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7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7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7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7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7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7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7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7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7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7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7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7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7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7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7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7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7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7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7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7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7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7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7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7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7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7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7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7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7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7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7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7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7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7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7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7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7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7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7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7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7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7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7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7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7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7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7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7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7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7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7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7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7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7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7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7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7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7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7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7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7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7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7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7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7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7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7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7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7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7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7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7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7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7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7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7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7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7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7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7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7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7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7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7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7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7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7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7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7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7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7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7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7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7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7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7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7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7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7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7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7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7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7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7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7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7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7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7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7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7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7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7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7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7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7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7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7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7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7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7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7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7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7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7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7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7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7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7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7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7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7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7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7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7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7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7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7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7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7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7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7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7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7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7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7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7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7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7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7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7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7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7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7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7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7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7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7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7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7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7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7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7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7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7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7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7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7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7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7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7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7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7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7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7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7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7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7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7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7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7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7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7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7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7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7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7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7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7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7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7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7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7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7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7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7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7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7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7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7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7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7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7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7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7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7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7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7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7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7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7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7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7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7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7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7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7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7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7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7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7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7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7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7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7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7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7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7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7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7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7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7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7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7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7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7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7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7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7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7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7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7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7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7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7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7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7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7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7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7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7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7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7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7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7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7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7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7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7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7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7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7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7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7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7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7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7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7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7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7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7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7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7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7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7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7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7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7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7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7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7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7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7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7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7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7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7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7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7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7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7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7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7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7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7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7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7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7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7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7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7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7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7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7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7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7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7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7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7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7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7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7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7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7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7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7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7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7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7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7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7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7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7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7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7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7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7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7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7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7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7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7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7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7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7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7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7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7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7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7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7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7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7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7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7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7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7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7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7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7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7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7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7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7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7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7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7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7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7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7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7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7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7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7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7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7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7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7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7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7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7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7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7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7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7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7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7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7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7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7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7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7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7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7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7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7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7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7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7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7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7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7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7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7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7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7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7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7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7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7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7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7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7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7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7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7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7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7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7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7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7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7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7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7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7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7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7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7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7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7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7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7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7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7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7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7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7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7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7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7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7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7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7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7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7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7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7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7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7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7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7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7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7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7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7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7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7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7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7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7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7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7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7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7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7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7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7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7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7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7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7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7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7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7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7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7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7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7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7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7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7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7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7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7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7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7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7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7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7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7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7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7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7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7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7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7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7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7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7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7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7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7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7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7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7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7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7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7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7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7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7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7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7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7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7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7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7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7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7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7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7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7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7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7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7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7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7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7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7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7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7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7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7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7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7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7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7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7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7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7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7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7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7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7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7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7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7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7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7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7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7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7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7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7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7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7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7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7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7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7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7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7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7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7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7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7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7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7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7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7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7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7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7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7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7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7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7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7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7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7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7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7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7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7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7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7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7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7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7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7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7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7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7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7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7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7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7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7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7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7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7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7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7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7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17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7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7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7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ht="17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ht="17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ht="17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 ht="17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ht="17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</sheetData>
  <mergeCells count="2">
    <mergeCell ref="A2:C2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Contributions</vt:lpstr>
      <vt:lpstr>Dépenses</vt:lpstr>
      <vt:lpstr>Reliquat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Joël Arsène Noumonvi</dc:creator>
  <cp:lastModifiedBy>Joël Arsène Noumonvi</cp:lastModifiedBy>
  <dcterms:created xsi:type="dcterms:W3CDTF">2025-03-05T10:07:05Z</dcterms:created>
  <dcterms:modified xsi:type="dcterms:W3CDTF">2026-02-09T06:35:40Z</dcterms:modified>
</cp:coreProperties>
</file>